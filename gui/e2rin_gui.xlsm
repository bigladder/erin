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181D1CA6-A0E1-4961-AE13-625500AAE8B2}" xr6:coauthVersionLast="45" xr6:coauthVersionMax="45" xr10:uidLastSave="{00000000-0000-0000-0000-000000000000}"/>
  <bookViews>
    <workbookView xWindow="-120" yWindow="-120" windowWidth="25440" windowHeight="14475" activeTab="2" xr2:uid="{C0CE6CFC-F4A7-E448-BB50-AAF297BA234B}"/>
  </bookViews>
  <sheets>
    <sheet name="Inputs" sheetId="1" r:id="rId1"/>
    <sheet name="stats" sheetId="19" r:id="rId2"/>
    <sheet name="out" sheetId="20" r:id="rId3"/>
  </sheets>
  <functionGroups builtInGroupCount="19"/>
  <definedNames>
    <definedName name="command_line">Inputs!$B$5</definedName>
    <definedName name="exe_path">Inputs!$B$1</definedName>
    <definedName name="input_file_path">Inputs!$B$2</definedName>
    <definedName name="output_file_path">Inputs!$B$3</definedName>
    <definedName name="stats_file_path">Inputs!$B$4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<sst xmlns="http://schemas.openxmlformats.org/spreadsheetml/2006/main" count="48" uniqueCount="37">
  <si>
    <t>input_file_path</t>
  </si>
  <si>
    <t>output_file_path</t>
  </si>
  <si>
    <t>stats_file_path</t>
  </si>
  <si>
    <t>command_line</t>
  </si>
  <si>
    <t>scenario id</t>
  </si>
  <si>
    <t>scenario start time (P[YYYY]-[MM]-[DD]T[hh]:[mm]:[ss])</t>
  </si>
  <si>
    <t>elapsed (hours)</t>
  </si>
  <si>
    <t>cluster_01_electric:achieved (kW)</t>
  </si>
  <si>
    <t>cluster_01_electric:requested (kW)</t>
  </si>
  <si>
    <t>electric_utility:achieved (kW)</t>
  </si>
  <si>
    <t>electric_utility:requested (kW)</t>
  </si>
  <si>
    <t>blue_sky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</si>
  <si>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</si>
  <si>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</si>
  <si>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</si>
  <si>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</si>
  <si>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</si>
  <si>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</si>
  <si>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</si>
  <si>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</si>
  <si>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</si>
  <si>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</si>
  <si>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cluster_01_electric</t>
  </si>
  <si>
    <t>load</t>
  </si>
  <si>
    <t>electricity</t>
  </si>
  <si>
    <t>electric_utility</t>
  </si>
  <si>
    <t>source</t>
  </si>
  <si>
    <t>TOTAL (source)</t>
  </si>
  <si>
    <t>TOTAL (load)</t>
  </si>
  <si>
    <t>TOTAL (storage)</t>
  </si>
  <si>
    <t>TOTAL (waste)</t>
  </si>
  <si>
    <t>ENERGY BALANCE (source-(load+storage+waste))</t>
  </si>
  <si>
    <t>C:\My Projects\e2rin\gui\in.toml</t>
  </si>
  <si>
    <t>C:\My Projects\e2rin\gui\out.csv</t>
  </si>
  <si>
    <t>C:\My Projects\e2rin\gui\stats.csv</t>
  </si>
  <si>
    <t>C:\My Projects\e2rin\build\bin\Release\e2rin_multi.exe</t>
  </si>
  <si>
    <t>exe_path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</si>
</sst>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1" fillId="0" borderId="0" xfId="1"/>
  </cellXfs>
  <cellStyles count="2">
    <cellStyle name="Normal" xfId="0" builtinId="0"/>
    <cellStyle name="Normal 2" xfId="1" xr:uid="{4D922DCD-CD86-46C0-9F90-DC1F6A447F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336550</xdr:colOff>
      <xdr:row>6</xdr:row>
      <xdr:rowOff>161925</xdr:rowOff>
    </xdr:from>
    <xdr:to>
      <xdr:col>2</xdr:col>
      <xdr:colOff>514350</xdr:colOff>
      <xdr:row>16</xdr:row>
      <xdr:rowOff>136525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36550" y="1362075"/>
          <a:ext cx="2149475" cy="1974850"/>
          <a:chOff x="3505200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706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sp macro="[0]!_xludf.Run" textlink="">
        <xdr:nvSpPr>
          <xdr:cNvPr id="4" name="Arrow: Pentagon 76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 editAs="oneCell">
    <xdr:from>
      <xdr:col>0</xdr:col>
      <xdr:colOff>0</xdr:colOff>
      <xdr:row>19</xdr:row>
      <xdr:rowOff>190500</xdr:rowOff>
    </xdr:from>
    <xdr:to>
      <xdr:col>8</xdr:col>
      <xdr:colOff>266700</xdr:colOff>
      <xdr:row>31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48100"/>
          <a:ext cx="7175500" cy="234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AF2B-0E01-014B-9ADB-F0B2CEB3BF18}">
  <sheetPr codeName="Sheet1"/>
  <dimension ref="A1:B5"/>
  <sheetViews>
    <sheetView workbookViewId="0">
      <selection activeCell="B5" sqref="B5"/>
    </sheetView>
  </sheetViews>
  <sheetFormatPr defaultColWidth="11" defaultRowHeight="15.75" x14ac:dyDescent="0.25"/>
  <cols>
    <col min="1" max="1" width="14.875" bestFit="1" customWidth="1"/>
  </cols>
  <sheetData>
    <row r="1" spans="1:2" x14ac:dyDescent="0.25">
      <c r="A1" t="s">
        <v>36</v>
      </c>
      <c r="B1" t="s">
        <v>35</v>
      </c>
    </row>
    <row r="2" spans="1:2" x14ac:dyDescent="0.25">
      <c r="A2" t="s">
        <v>0</v>
      </c>
      <c r="B2" t="s">
        <v>32</v>
      </c>
    </row>
    <row r="3" spans="1:2" x14ac:dyDescent="0.25">
      <c r="A3" t="s">
        <v>1</v>
      </c>
      <c r="B3" t="s">
        <v>33</v>
      </c>
    </row>
    <row r="4" spans="1:2" x14ac:dyDescent="0.25">
      <c r="A4" t="s">
        <v>2</v>
      </c>
      <c r="B4" t="s">
        <v>34</v>
      </c>
    </row>
    <row r="5" spans="1:2" x14ac:dyDescent="0.25">
      <c r="A5" t="s">
        <v>3</v>
      </c>
      <c r="B5" t="str">
        <f>exe_path &amp; " " &amp; input_file_path &amp; " " &amp; output_file_path &amp; " " &amp; stats_file_path</f>
        <v>C:\My Projects\e2rin\build\bin\Release\e2rin_multi.exe C:\My Projects\e2rin\gui\in.toml C:\My Projects\e2rin\gui\out.csv C:\My Projects\e2rin\gui\stats.csv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706">
              <controlPr defaultSize="0" autoFill="0" autoPict="0" macro="[0]!_xludf.Run">
                <anchor>
                  <from>
                    <xdr:col>0</xdr:col>
                    <xdr:colOff>333375</xdr:colOff>
                    <xdr:row>6</xdr:row>
                    <xdr:rowOff>161925</xdr:rowOff>
                  </from>
                  <to>
                    <xdr:col>2</xdr:col>
                    <xdr:colOff>514350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3E6D-E53F-3240-87A5-814800F31F9B}">
  <sheetPr codeName="Sheet3"/>
  <dimension ref="A1:J8"/>
  <sheetViews>
    <sheetView workbookViewId="0"/>
  </sheetViews>
  <sheetFormatPr defaultColWidth="11" defaultRowHeight="15.75" x14ac:dyDescent="0.25"/>
  <sheetData>
    <row r="1" spans="1:10" x14ac:dyDescent="0.25">
      <c r="A1" t="s">
        <v>4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</row>
    <row r="2" spans="1:10" x14ac:dyDescent="0.25">
      <c r="A2" t="s">
        <v>11</v>
      </c>
      <c r="B2">
        <v>1</v>
      </c>
      <c r="C2">
        <v>4</v>
      </c>
      <c r="D2" t="s">
        <v>22</v>
      </c>
      <c r="E2" t="s">
        <v>23</v>
      </c>
      <c r="F2" t="s">
        <v>24</v>
      </c>
      <c r="G2">
        <v>1</v>
      </c>
      <c r="H2">
        <v>0</v>
      </c>
      <c r="I2">
        <v>0</v>
      </c>
      <c r="J2">
        <v>14400</v>
      </c>
    </row>
    <row r="3" spans="1:10" x14ac:dyDescent="0.25">
      <c r="A3" t="s">
        <v>11</v>
      </c>
      <c r="B3">
        <v>1</v>
      </c>
      <c r="C3">
        <v>4</v>
      </c>
      <c r="D3" t="s">
        <v>25</v>
      </c>
      <c r="E3" t="s">
        <v>26</v>
      </c>
      <c r="F3" t="s">
        <v>24</v>
      </c>
      <c r="G3">
        <v>1</v>
      </c>
      <c r="H3">
        <v>0</v>
      </c>
      <c r="I3">
        <v>0</v>
      </c>
      <c r="J3">
        <v>14400</v>
      </c>
    </row>
    <row r="4" spans="1:10" x14ac:dyDescent="0.25">
      <c r="A4" t="s">
        <v>11</v>
      </c>
      <c r="B4">
        <v>1</v>
      </c>
      <c r="C4">
        <v>4</v>
      </c>
      <c r="D4" t="s">
        <v>27</v>
      </c>
      <c r="J4">
        <v>14400</v>
      </c>
    </row>
    <row r="5" spans="1:10" x14ac:dyDescent="0.25">
      <c r="A5" t="s">
        <v>11</v>
      </c>
      <c r="B5">
        <v>1</v>
      </c>
      <c r="C5">
        <v>4</v>
      </c>
      <c r="D5" t="s">
        <v>28</v>
      </c>
      <c r="J5">
        <v>14400</v>
      </c>
    </row>
    <row r="6" spans="1:10" x14ac:dyDescent="0.25">
      <c r="A6" t="s">
        <v>11</v>
      </c>
      <c r="B6">
        <v>1</v>
      </c>
      <c r="C6">
        <v>4</v>
      </c>
      <c r="D6" t="s">
        <v>29</v>
      </c>
      <c r="J6">
        <v>0</v>
      </c>
    </row>
    <row r="7" spans="1:10" x14ac:dyDescent="0.25">
      <c r="A7" t="s">
        <v>11</v>
      </c>
      <c r="B7">
        <v>1</v>
      </c>
      <c r="C7">
        <v>4</v>
      </c>
      <c r="D7" t="s">
        <v>30</v>
      </c>
      <c r="J7">
        <v>0</v>
      </c>
    </row>
    <row r="8" spans="1:10" x14ac:dyDescent="0.25">
      <c r="A8" t="s">
        <v>11</v>
      </c>
      <c r="B8">
        <v>1</v>
      </c>
      <c r="C8">
        <v>4</v>
      </c>
      <c r="D8" t="s">
        <v>31</v>
      </c>
      <c r="E8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C6BB-58AB-41EC-8F93-E36DF82D2C46}">
  <sheetPr codeName="Sheet2"/>
  <dimension ref="A1:G3"/>
  <sheetViews>
    <sheetView tabSelected="1" workbookViewId="0"/>
  </sheetViews>
  <sheetFormatPr defaultRowHeight="15" x14ac:dyDescent="0.25"/>
  <cols>
    <col min="1" max="16384" width="9" style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s="1" t="s">
        <v>11</v>
      </c>
      <c r="B2" s="1" t="s">
        <v>12</v>
      </c>
      <c r="C2" s="1">
        <v>0</v>
      </c>
      <c r="D2" s="1">
        <v>1</v>
      </c>
      <c r="E2" s="1">
        <v>1</v>
      </c>
      <c r="F2" s="1">
        <v>1</v>
      </c>
      <c r="G2" s="1">
        <v>1</v>
      </c>
    </row>
    <row r="3" spans="1:7" x14ac:dyDescent="0.25">
      <c r="A3" s="1" t="s">
        <v>11</v>
      </c>
      <c r="B3" s="1" t="s">
        <v>12</v>
      </c>
      <c r="C3" s="1">
        <v>4</v>
      </c>
      <c r="D3" s="1">
        <v>0</v>
      </c>
      <c r="E3" s="1">
        <v>0</v>
      </c>
      <c r="F3" s="1">
        <v>0</v>
      </c>
      <c r="G3" s="1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stats</vt:lpstr>
      <vt:lpstr>out</vt:lpstr>
      <vt:lpstr>command_line</vt:lpstr>
      <vt:lpstr>exe_path</vt:lpstr>
      <vt:lpstr>input_file_path</vt:lpstr>
      <vt:lpstr>output_file_path</vt:lpstr>
      <vt:lpstr>stats_file_path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2020-06-29T16:36:22Z</dcterms:modified>
</cp:coreProperties>
</file>