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146F3877-6582-44B0-B290-8DD383AB5059}" xr6:coauthVersionLast="45" xr6:coauthVersionMax="45" xr10:uidLastSave="{00000000-0000-0000-0000-000000000000}"/>
  <bookViews>
    <workbookView xWindow="0" yWindow="0" windowWidth="25200" windowHeight="1423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59" r:id="rId6"/>
    <sheet name="stats" sheetId="660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<sst xmlns="http://schemas.openxmlformats.org/spreadsheetml/2006/main" count="229" uniqueCount="132">
  <si>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</si>
  <si>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</si>
  <si>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</si>
  <si>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</si>
  <si>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</si>
  <si>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</si>
  <si>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</si>
  <si>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</si>
  <si>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</si>
  <si>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</si>
  <si>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</si>
  <si>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</si>
  <si>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</si>
  <si>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</si>
  <si>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</si>
  <si>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</si>
  <si>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</si>
  <si>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</si>
  <si>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</si>
  <si>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</si>
  <si>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</si>
  <si>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</si>
  <si>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</si>
  <si>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</si>
  <si>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</si>
  <si>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</si>
  <si>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</si>
  <si>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</si>
  <si>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</si>
  <si>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</si>
  <si>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</si>
  <si>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</si>
  <si>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</si>
  <si>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</si>
  <si>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</si>
  <si>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</si>
  <si>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</si>
  <si>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</si>
  <si>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</si>
  <si>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</si>
  <si>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</si>
  <si>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</si>
  <si>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</si>
  <si>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</si>
  <si>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</si>
  <si>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</si>
  <si>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</si>
  <si>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</si>
  <si>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</si>
  <si>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</si>
  <si>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</si>
  <si>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</si>
  <si>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</si>
  <si>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</si>
  <si>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</si>
  <si>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</si>
  <si>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</si>
  <si>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</si>
  <si>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</si>
  <si>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</si>
  <si>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</si>
  <si>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</si>
  <si>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</si>
  <si>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</si>
  <si>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</si>
  <si>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</si>
  <si>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</si>
  <si>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</si>
  <si>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</si>
  <si>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</si>
  <si>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</si>
  <si>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</si>
  <si>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</si>
  <si>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</si>
  <si>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</si>
  <si>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</si>
  <si>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</si>
  <si>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</si>
  <si>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</si>
  <si>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</si>
  <si>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</si>
  <si>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mc_electricity</t>
  </si>
  <si>
    <t>mc</t>
  </si>
  <si>
    <t>other_electricity</t>
  </si>
  <si>
    <t>other</t>
  </si>
  <si>
    <t>source1</t>
  </si>
  <si>
    <t>utility</t>
  </si>
  <si>
    <t>link1</t>
  </si>
  <si>
    <t>link2</t>
  </si>
  <si>
    <t>blue_sky</t>
  </si>
  <si>
    <t>mc_blue_sky_electricity.csv</t>
  </si>
  <si>
    <t>other_blue_sky_electricity.csv</t>
  </si>
  <si>
    <t>scenario id</t>
  </si>
  <si>
    <t>scenario start time (P[YYYY]-[MM]-[DD]T[hh]:[mm]:[ss])</t>
  </si>
  <si>
    <t>elapsed (hours)</t>
  </si>
  <si>
    <t>source1:achieved (kW)</t>
  </si>
  <si>
    <t>source1:requested (kW)</t>
  </si>
  <si>
    <t>utility_electricity_bus-inflow(0):achieved (kW)</t>
  </si>
  <si>
    <t>utility_electricity_bus-inflow(0):requested (kW)</t>
  </si>
  <si>
    <t>utility_electricity_bus-outflow(0):achieved (kW)</t>
  </si>
  <si>
    <t>utility_electricity_bus-outflow(0):requested (kW)</t>
  </si>
  <si>
    <t>utility_electricity_bus-outflow(1):achieved (kW)</t>
  </si>
  <si>
    <t>utility_electricity_bus-outflow(1):requested (kW)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</si>
  <si>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</si>
  <si>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</si>
  <si>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</si>
  <si>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</si>
  <si>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</si>
  <si>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</si>
  <si>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</si>
  <si>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</si>
  <si>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</si>
  <si>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</si>
  <si>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utility_electricity_bus-inflow(0)</t>
  </si>
  <si>
    <t>muxer</t>
  </si>
  <si>
    <t>utility_electricity_bus-outflow(0)</t>
  </si>
  <si>
    <t>utility_electricity_bus-outflow(1)</t>
  </si>
  <si>
    <t>TOTAL (source)</t>
  </si>
  <si>
    <t>TOTAL (load)</t>
  </si>
  <si>
    <t>TOTAL (storage)</t>
  </si>
  <si>
    <t>TOTAL (waste)</t>
  </si>
  <si>
    <t>ENERGY BALANCE (source-(load+storage+waste))</t>
  </si>
  <si>
    <t>flow_moved</t>
  </si>
  <si>
    <t>support_flow</t>
  </si>
  <si>
    <t>cop</t>
  </si>
  <si>
    <t>mc_electricity:achieved (kW)</t>
  </si>
  <si>
    <t>mc_electricity:requested (kW)</t>
  </si>
  <si>
    <t>other_electricity:achieved (kW)</t>
  </si>
  <si>
    <t>other_electricity:requested (kW)</t>
  </si>
  <si>
    <t>mover</t>
  </si>
  <si>
    <t>uncontrolled source</t>
  </si>
  <si>
    <t>mover1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</si>
</sst>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7">
    <xf numFmtId="0" fontId="0" fillId="0" borderId="0"/>
    <xf numFmtId="0" fontId="14" fillId="0" borderId="0"/>
    <xf numFmtId="0" fontId="16" fillId="2" borderId="1" applyNumberFormat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7">
    <xf numFmtId="0" fontId="0" fillId="0" borderId="0" xfId="0"/>
    <xf numFmtId="0" fontId="15" fillId="0" borderId="0" xfId="0" applyFont="1"/>
    <xf numFmtId="0" fontId="17" fillId="0" borderId="0" xfId="0" applyFont="1"/>
    <xf numFmtId="0" fontId="0" fillId="0" borderId="0" xfId="0"/>
    <xf numFmtId="0" fontId="15" fillId="0" borderId="0" xfId="0" applyFont="1"/>
    <xf numFmtId="0" fontId="1" fillId="0" borderId="0" xfId="26"/>
    <xf numFmtId="11" fontId="1" fillId="0" borderId="0" xfId="26" applyNumberFormat="1"/>
  </cellXfs>
  <cellStyles count="27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57150</xdr:rowOff>
        </xdr:from>
        <xdr:to>
          <xdr:col>3</xdr:col>
          <xdr:colOff>9525</xdr:colOff>
          <xdr:row>11</xdr:row>
          <xdr:rowOff>133350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9525</xdr:rowOff>
        </xdr:from>
        <xdr:to>
          <xdr:col>3</xdr:col>
          <xdr:colOff>0</xdr:colOff>
          <xdr:row>13</xdr:row>
          <xdr:rowOff>85725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171450</xdr:rowOff>
        </xdr:from>
        <xdr:to>
          <xdr:col>3</xdr:col>
          <xdr:colOff>0</xdr:colOff>
          <xdr:row>15</xdr:row>
          <xdr:rowOff>47625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4085" name="Check Box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2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4086" name="Check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2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44087" name="Check Box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2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3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3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47625</xdr:rowOff>
    </xdr:from>
    <xdr:to>
      <xdr:col>1</xdr:col>
      <xdr:colOff>1504950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323975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</xdr:col>
      <xdr:colOff>9525</xdr:colOff>
      <xdr:row>0</xdr:row>
      <xdr:rowOff>47625</xdr:rowOff>
    </xdr:from>
    <xdr:to>
      <xdr:col>2</xdr:col>
      <xdr:colOff>466725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085975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5105" name="Check Box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4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Normal="100" workbookViewId="0">
      <selection activeCell="B23" sqref="B23"/>
    </sheetView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>
      <selection activeCell="F11" sqref="F11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3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1</xdr:col>
                    <xdr:colOff>0</xdr:colOff>
                    <xdr:row>12</xdr:row>
                    <xdr:rowOff>9525</xdr:rowOff>
                  </from>
                  <to>
                    <xdr:col>3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6"/>
  <sheetViews>
    <sheetView workbookViewId="0"/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  <row r="4" spans="2:3" x14ac:dyDescent="0.25">
      <c r="B4" t="s">
        <v>81</v>
      </c>
      <c r="C4" t="s">
        <v>82</v>
      </c>
    </row>
    <row r="5" spans="2:3" x14ac:dyDescent="0.25">
      <c r="B5" t="s">
        <v>83</v>
      </c>
      <c r="C5" t="s">
        <v>84</v>
      </c>
    </row>
    <row r="6" spans="2:3" x14ac:dyDescent="0.25">
      <c r="B6" t="s">
        <v>85</v>
      </c>
      <c r="C6" t="s">
        <v>86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7" name="Check Box 53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8" name="Check Box 54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9" name="Check Box 55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5"/>
  <sheetViews>
    <sheetView workbookViewId="0">
      <selection activeCell="C10" sqref="C10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  <row r="4" spans="2:5" x14ac:dyDescent="0.25">
      <c r="B4" t="s">
        <v>87</v>
      </c>
      <c r="C4" t="s">
        <v>86</v>
      </c>
      <c r="D4" t="s">
        <v>82</v>
      </c>
      <c r="E4" t="s">
        <v>1</v>
      </c>
    </row>
    <row r="5" spans="2:5" x14ac:dyDescent="0.25">
      <c r="B5" t="s">
        <v>88</v>
      </c>
      <c r="C5" t="s">
        <v>86</v>
      </c>
      <c r="D5" t="s">
        <v>84</v>
      </c>
      <c r="E5" t="s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Check Box 21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Check Box 22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4"/>
  <sheetViews>
    <sheetView workbookViewId="0">
      <selection activeCell="E12" sqref="E12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  <row r="4" spans="2:2" x14ac:dyDescent="0.25">
      <c r="B4" t="s">
        <v>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47625</xdr:rowOff>
                  </from>
                  <to>
                    <xdr:col>1</xdr:col>
                    <xdr:colOff>1504950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2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9" name="Check Box 49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2E88C-C3DD-4B90-8D96-258B5599F395}">
  <sheetPr codeName="Sheet1"/>
  <dimension ref="A1:O4"/>
  <sheetViews>
    <sheetView workbookViewId="0"/>
  </sheetViews>
  <sheetFormatPr defaultRowHeight="15" x14ac:dyDescent="0.25"/>
  <cols>
    <col min="1" max="16384" width="9" style="5"/>
  </cols>
  <sheetData>
    <row r="1" spans="1:15" x14ac:dyDescent="0.25">
      <c r="A1" s="5" t="s">
        <v>92</v>
      </c>
      <c r="B1" s="5" t="s">
        <v>93</v>
      </c>
      <c r="C1" s="5" t="s">
        <v>94</v>
      </c>
      <c r="D1" s="5" t="s">
        <v>125</v>
      </c>
      <c r="E1" s="5" t="s">
        <v>126</v>
      </c>
      <c r="F1" s="5" t="s">
        <v>127</v>
      </c>
      <c r="G1" s="5" t="s">
        <v>128</v>
      </c>
      <c r="H1" s="5" t="s">
        <v>95</v>
      </c>
      <c r="I1" s="5" t="s">
        <v>96</v>
      </c>
      <c r="J1" s="5" t="s">
        <v>97</v>
      </c>
      <c r="K1" s="5" t="s">
        <v>98</v>
      </c>
      <c r="L1" s="5" t="s">
        <v>99</v>
      </c>
      <c r="M1" s="5" t="s">
        <v>100</v>
      </c>
      <c r="N1" s="5" t="s">
        <v>101</v>
      </c>
      <c r="O1" s="5" t="s">
        <v>102</v>
      </c>
    </row>
    <row r="2" spans="1:15" x14ac:dyDescent="0.25">
      <c r="A2" s="5" t="s">
        <v>89</v>
      </c>
      <c r="B2" s="5" t="s">
        <v>103</v>
      </c>
      <c r="C2" s="5">
        <v>0</v>
      </c>
      <c r="D2" s="5">
        <v>1000</v>
      </c>
      <c r="E2" s="5">
        <v>1000</v>
      </c>
      <c r="F2" s="5">
        <v>1000</v>
      </c>
      <c r="G2" s="5">
        <v>1000</v>
      </c>
      <c r="H2" s="5">
        <v>2000</v>
      </c>
      <c r="I2" s="5">
        <v>2000</v>
      </c>
      <c r="J2" s="5">
        <v>2000</v>
      </c>
      <c r="K2" s="5">
        <v>2000</v>
      </c>
      <c r="L2" s="5">
        <v>1000</v>
      </c>
      <c r="M2" s="5">
        <v>1000</v>
      </c>
      <c r="N2" s="5">
        <v>1000</v>
      </c>
      <c r="O2" s="5">
        <v>1000</v>
      </c>
    </row>
    <row r="3" spans="1:15" x14ac:dyDescent="0.25">
      <c r="A3" s="5" t="s">
        <v>89</v>
      </c>
      <c r="B3" s="5" t="s">
        <v>103</v>
      </c>
      <c r="C3" s="5">
        <v>336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</row>
    <row r="4" spans="1:15" x14ac:dyDescent="0.25">
      <c r="A4" s="5" t="s">
        <v>89</v>
      </c>
      <c r="B4" s="5" t="s">
        <v>103</v>
      </c>
      <c r="C4" s="5">
        <v>8760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CCE5E-69C1-4921-9D00-6DFC67ECCB93}">
  <sheetPr codeName="Sheet2"/>
  <dimension ref="A1:J12"/>
  <sheetViews>
    <sheetView workbookViewId="0"/>
  </sheetViews>
  <sheetFormatPr defaultRowHeight="15" x14ac:dyDescent="0.25"/>
  <cols>
    <col min="1" max="16384" width="9" style="5"/>
  </cols>
  <sheetData>
    <row r="1" spans="1:10" x14ac:dyDescent="0.25">
      <c r="A1" s="5" t="s">
        <v>92</v>
      </c>
      <c r="B1" s="5" t="s">
        <v>104</v>
      </c>
      <c r="C1" s="5" t="s">
        <v>105</v>
      </c>
      <c r="D1" s="5" t="s">
        <v>106</v>
      </c>
      <c r="E1" s="5" t="s">
        <v>107</v>
      </c>
      <c r="F1" s="5" t="s">
        <v>108</v>
      </c>
      <c r="G1" s="5" t="s">
        <v>109</v>
      </c>
      <c r="H1" s="5" t="s">
        <v>110</v>
      </c>
      <c r="I1" s="5" t="s">
        <v>111</v>
      </c>
      <c r="J1" s="5" t="s">
        <v>112</v>
      </c>
    </row>
    <row r="2" spans="1:10" x14ac:dyDescent="0.25">
      <c r="A2" s="5" t="s">
        <v>89</v>
      </c>
      <c r="B2" s="5">
        <v>1</v>
      </c>
      <c r="C2" s="5">
        <v>8760</v>
      </c>
      <c r="D2" s="5" t="s">
        <v>81</v>
      </c>
      <c r="E2" s="5" t="s">
        <v>0</v>
      </c>
      <c r="F2" s="5" t="s">
        <v>1</v>
      </c>
      <c r="G2" s="5">
        <v>1</v>
      </c>
      <c r="H2" s="5">
        <v>0</v>
      </c>
      <c r="I2" s="5">
        <v>0</v>
      </c>
      <c r="J2" s="6">
        <v>1209600000</v>
      </c>
    </row>
    <row r="3" spans="1:10" x14ac:dyDescent="0.25">
      <c r="A3" s="5" t="s">
        <v>89</v>
      </c>
      <c r="B3" s="5">
        <v>1</v>
      </c>
      <c r="C3" s="5">
        <v>8760</v>
      </c>
      <c r="D3" s="5" t="s">
        <v>83</v>
      </c>
      <c r="E3" s="5" t="s">
        <v>0</v>
      </c>
      <c r="F3" s="5" t="s">
        <v>1</v>
      </c>
      <c r="G3" s="5">
        <v>1</v>
      </c>
      <c r="H3" s="5">
        <v>0</v>
      </c>
      <c r="I3" s="5">
        <v>0</v>
      </c>
      <c r="J3" s="6">
        <v>1209600000</v>
      </c>
    </row>
    <row r="4" spans="1:10" x14ac:dyDescent="0.25">
      <c r="A4" s="5" t="s">
        <v>89</v>
      </c>
      <c r="B4" s="5">
        <v>1</v>
      </c>
      <c r="C4" s="5">
        <v>8760</v>
      </c>
      <c r="D4" s="5" t="s">
        <v>85</v>
      </c>
      <c r="E4" s="5" t="s">
        <v>2</v>
      </c>
      <c r="F4" s="5" t="s">
        <v>1</v>
      </c>
      <c r="G4" s="5">
        <v>1</v>
      </c>
      <c r="H4" s="5">
        <v>0</v>
      </c>
      <c r="I4" s="5">
        <v>0</v>
      </c>
      <c r="J4" s="6">
        <v>2419200000</v>
      </c>
    </row>
    <row r="5" spans="1:10" x14ac:dyDescent="0.25">
      <c r="A5" s="5" t="s">
        <v>89</v>
      </c>
      <c r="B5" s="5">
        <v>1</v>
      </c>
      <c r="C5" s="5">
        <v>8760</v>
      </c>
      <c r="D5" s="5" t="s">
        <v>113</v>
      </c>
      <c r="E5" s="5" t="s">
        <v>114</v>
      </c>
      <c r="F5" s="5" t="s">
        <v>1</v>
      </c>
      <c r="G5" s="5">
        <v>1</v>
      </c>
      <c r="H5" s="5">
        <v>0</v>
      </c>
      <c r="I5" s="5">
        <v>0</v>
      </c>
      <c r="J5" s="6">
        <v>2419200000</v>
      </c>
    </row>
    <row r="6" spans="1:10" x14ac:dyDescent="0.25">
      <c r="A6" s="5" t="s">
        <v>89</v>
      </c>
      <c r="B6" s="5">
        <v>1</v>
      </c>
      <c r="C6" s="5">
        <v>8760</v>
      </c>
      <c r="D6" s="5" t="s">
        <v>115</v>
      </c>
      <c r="E6" s="5" t="s">
        <v>114</v>
      </c>
      <c r="F6" s="5" t="s">
        <v>1</v>
      </c>
      <c r="G6" s="5">
        <v>1</v>
      </c>
      <c r="H6" s="5">
        <v>0</v>
      </c>
      <c r="I6" s="5">
        <v>0</v>
      </c>
      <c r="J6" s="6">
        <v>1209600000</v>
      </c>
    </row>
    <row r="7" spans="1:10" x14ac:dyDescent="0.25">
      <c r="A7" s="5" t="s">
        <v>89</v>
      </c>
      <c r="B7" s="5">
        <v>1</v>
      </c>
      <c r="C7" s="5">
        <v>8760</v>
      </c>
      <c r="D7" s="5" t="s">
        <v>116</v>
      </c>
      <c r="E7" s="5" t="s">
        <v>114</v>
      </c>
      <c r="F7" s="5" t="s">
        <v>1</v>
      </c>
      <c r="G7" s="5">
        <v>1</v>
      </c>
      <c r="H7" s="5">
        <v>0</v>
      </c>
      <c r="I7" s="5">
        <v>0</v>
      </c>
      <c r="J7" s="6">
        <v>1209600000</v>
      </c>
    </row>
    <row r="8" spans="1:10" x14ac:dyDescent="0.25">
      <c r="A8" s="5" t="s">
        <v>89</v>
      </c>
      <c r="B8" s="5">
        <v>1</v>
      </c>
      <c r="C8" s="5">
        <v>8760</v>
      </c>
      <c r="D8" s="5" t="s">
        <v>117</v>
      </c>
      <c r="J8" s="6">
        <v>2419200000</v>
      </c>
    </row>
    <row r="9" spans="1:10" x14ac:dyDescent="0.25">
      <c r="A9" s="5" t="s">
        <v>89</v>
      </c>
      <c r="B9" s="5">
        <v>1</v>
      </c>
      <c r="C9" s="5">
        <v>8760</v>
      </c>
      <c r="D9" s="5" t="s">
        <v>118</v>
      </c>
      <c r="J9" s="6">
        <v>2419200000</v>
      </c>
    </row>
    <row r="10" spans="1:10" x14ac:dyDescent="0.25">
      <c r="A10" s="5" t="s">
        <v>89</v>
      </c>
      <c r="B10" s="5">
        <v>1</v>
      </c>
      <c r="C10" s="5">
        <v>8760</v>
      </c>
      <c r="D10" s="5" t="s">
        <v>119</v>
      </c>
      <c r="J10" s="5">
        <v>0</v>
      </c>
    </row>
    <row r="11" spans="1:10" x14ac:dyDescent="0.25">
      <c r="A11" s="5" t="s">
        <v>89</v>
      </c>
      <c r="B11" s="5">
        <v>1</v>
      </c>
      <c r="C11" s="5">
        <v>8760</v>
      </c>
      <c r="D11" s="5" t="s">
        <v>120</v>
      </c>
      <c r="J11" s="5">
        <v>0</v>
      </c>
    </row>
    <row r="12" spans="1:10" x14ac:dyDescent="0.25">
      <c r="A12" s="5" t="s">
        <v>89</v>
      </c>
      <c r="B12" s="5">
        <v>1</v>
      </c>
      <c r="C12" s="5">
        <v>8760</v>
      </c>
      <c r="D12" s="5" t="s">
        <v>121</v>
      </c>
      <c r="E12" s="5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5"/>
  <sheetViews>
    <sheetView workbookViewId="0">
      <selection activeCell="A20" sqref="A20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129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130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topLeftCell="B1" workbookViewId="0">
      <selection activeCell="H22" sqref="H22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H22" sqref="H22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H22" sqref="H22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18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3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  <row r="2" spans="1:3" x14ac:dyDescent="0.25">
      <c r="A2" t="s">
        <v>81</v>
      </c>
      <c r="B2" t="s">
        <v>82</v>
      </c>
      <c r="C2" t="s">
        <v>1</v>
      </c>
    </row>
    <row r="3" spans="1:3" x14ac:dyDescent="0.25">
      <c r="A3" t="s">
        <v>83</v>
      </c>
      <c r="B3" t="s">
        <v>84</v>
      </c>
      <c r="C3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3"/>
  <sheetViews>
    <sheetView workbookViewId="0">
      <selection activeCell="H22" sqref="H22"/>
    </sheetView>
  </sheetViews>
  <sheetFormatPr defaultColWidth="11" defaultRowHeight="15.75" x14ac:dyDescent="0.25"/>
  <sheetData>
    <row r="1" spans="1:4" x14ac:dyDescent="0.25">
      <c r="A1" s="2" t="s">
        <v>10</v>
      </c>
      <c r="B1" t="s">
        <v>46</v>
      </c>
      <c r="C1" t="s">
        <v>28</v>
      </c>
      <c r="D1" t="s">
        <v>11</v>
      </c>
    </row>
    <row r="2" spans="1:4" x14ac:dyDescent="0.25">
      <c r="A2" t="s">
        <v>89</v>
      </c>
      <c r="B2" t="s">
        <v>81</v>
      </c>
      <c r="C2" t="s">
        <v>1</v>
      </c>
      <c r="D2" t="s">
        <v>90</v>
      </c>
    </row>
    <row r="3" spans="1:4" x14ac:dyDescent="0.25">
      <c r="A3" t="s">
        <v>89</v>
      </c>
      <c r="B3" t="s">
        <v>83</v>
      </c>
      <c r="C3" t="s">
        <v>1</v>
      </c>
      <c r="D3" t="s">
        <v>91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2"/>
  <sheetViews>
    <sheetView workbookViewId="0">
      <selection activeCell="H22" sqref="H22"/>
    </sheetView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122</v>
      </c>
      <c r="D1" s="5" t="s">
        <v>123</v>
      </c>
      <c r="E1" s="5" t="s">
        <v>124</v>
      </c>
    </row>
    <row r="2" spans="1:5" x14ac:dyDescent="0.25">
      <c r="A2" s="5" t="s">
        <v>131</v>
      </c>
      <c r="B2" s="5" t="s">
        <v>82</v>
      </c>
      <c r="C2" s="5" t="s">
        <v>4</v>
      </c>
      <c r="D2" s="5" t="s">
        <v>34</v>
      </c>
      <c r="E2" s="5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3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  <row r="2" spans="1:4" x14ac:dyDescent="0.25">
      <c r="A2" t="s">
        <v>87</v>
      </c>
      <c r="B2" t="s">
        <v>86</v>
      </c>
      <c r="C2" t="s">
        <v>82</v>
      </c>
      <c r="D2" t="s">
        <v>1</v>
      </c>
    </row>
    <row r="3" spans="1:4" x14ac:dyDescent="0.25">
      <c r="A3" t="s">
        <v>88</v>
      </c>
      <c r="B3" t="s">
        <v>86</v>
      </c>
      <c r="C3" t="s">
        <v>84</v>
      </c>
      <c r="D3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2"/>
  <sheetViews>
    <sheetView workbookViewId="0">
      <selection activeCell="H22" sqref="H22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  <row r="2" spans="1:5" x14ac:dyDescent="0.25">
      <c r="A2" t="s">
        <v>89</v>
      </c>
      <c r="B2">
        <v>8760</v>
      </c>
      <c r="C2" t="s">
        <v>23</v>
      </c>
      <c r="D2" t="b">
        <v>0</v>
      </c>
      <c r="E2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2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  <row r="2" spans="1:5" x14ac:dyDescent="0.25">
      <c r="A2" t="s">
        <v>85</v>
      </c>
      <c r="B2" t="s">
        <v>86</v>
      </c>
      <c r="C2" t="s">
        <v>1</v>
      </c>
      <c r="D2" t="b">
        <v>0</v>
      </c>
      <c r="E2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H22" sqref="H22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2020-08-07T21:56:46Z</dcterms:modified>
</cp:coreProperties>
</file>