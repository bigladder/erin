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5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y Projects\e2rin\gui\"/>
    </mc:Choice>
  </mc:AlternateContent>
  <xr:revisionPtr revIDLastSave="0" documentId="13_ncr:1_{1BF6472A-93E9-49F1-9F72-B973558F4A87}" xr6:coauthVersionLast="45" xr6:coauthVersionMax="45" xr10:uidLastSave="{00000000-0000-0000-0000-000000000000}"/>
  <bookViews>
    <workbookView xWindow="-120" yWindow="-120" windowWidth="25440" windowHeight="14475" tabRatio="836" activeTab="1" xr2:uid="{C0CE6CFC-F4A7-E448-BB50-AAF297BA234B}"/>
  </bookViews>
  <sheets>
    <sheet name="Instructions" sheetId="577" r:id="rId1"/>
    <sheet name="Settings" sheetId="641" r:id="rId2"/>
    <sheet name="Components" sheetId="596" r:id="rId3"/>
    <sheet name="Network" sheetId="598" r:id="rId4"/>
    <sheet name="Scenarios" sheetId="597" r:id="rId5"/>
    <sheet name="menus" sheetId="578" state="hidden" r:id="rId6"/>
    <sheet name="component-failure-mode" sheetId="579" state="hidden" r:id="rId7"/>
    <sheet name="component-fragility" sheetId="580" state="hidden" r:id="rId8"/>
    <sheet name="converter-component" sheetId="581" state="hidden" r:id="rId9"/>
    <sheet name="damage-intensity" sheetId="582" state="hidden" r:id="rId10"/>
    <sheet name="dual-outflow-converter-comp" sheetId="594" state="hidden" r:id="rId11"/>
    <sheet name="failure-mode" sheetId="583" state="hidden" r:id="rId12"/>
    <sheet name="fixed-cdf" sheetId="584" state="hidden" r:id="rId13"/>
    <sheet name="fragility-curve" sheetId="585" state="hidden" r:id="rId14"/>
    <sheet name="general" sheetId="586" state="hidden" r:id="rId15"/>
    <sheet name="load-component" sheetId="587" state="hidden" r:id="rId16"/>
    <sheet name="load-profile" sheetId="588" state="hidden" r:id="rId17"/>
    <sheet name="muxer-component" sheetId="589" state="hidden" r:id="rId18"/>
    <sheet name="network-link" sheetId="590" state="hidden" r:id="rId19"/>
    <sheet name="pass-through-component" sheetId="595" state="hidden" r:id="rId20"/>
    <sheet name="scenario" sheetId="592" state="hidden" r:id="rId21"/>
    <sheet name="source-component" sheetId="591" state="hidden" r:id="rId22"/>
    <sheet name="storage-component" sheetId="593" state="hidden" r:id="rId23"/>
    <sheet name="out" sheetId="646" r:id="rId24"/>
    <sheet name="stats" sheetId="647" r:id="rId25"/>
  </sheets>
  <functionGroups builtInGroupCount="19"/>
  <externalReferences>
    <externalReference r:id="rId26"/>
  </externalReferences>
  <definedNames>
    <definedName name="_xlnm._FilterDatabase" localSheetId="5" hidden="1">menus!$A$6:$A$17</definedName>
    <definedName name="building_level_building_id">#REF!</definedName>
    <definedName name="building_level_echiller_eff_pct">#REF!</definedName>
    <definedName name="building_level_echiller_flag">#REF!</definedName>
    <definedName name="building_level_echiller_peak_cooling_kW">#REF!</definedName>
    <definedName name="building_level_egen_eff_pct">#REF!</definedName>
    <definedName name="building_level_egen_flag">#REF!</definedName>
    <definedName name="building_level_egen_peak_pwr_kW">#REF!</definedName>
    <definedName name="building_level_gas_boiler_eff_pct">#REF!</definedName>
    <definedName name="building_level_gas_boiler_flag">#REF!</definedName>
    <definedName name="building_level_gas_boiler_peak_heat_gen_kW">#REF!</definedName>
    <definedName name="building_level_heat_storage_cap_kWh">#REF!</definedName>
    <definedName name="building_level_heat_storage_flag">#REF!</definedName>
    <definedName name="command_line">#REF!</definedName>
    <definedName name="component_type">Components!#REF!</definedName>
    <definedName name="exe_path">Settings!$C$2</definedName>
    <definedName name="input_file_path">#REF!</definedName>
    <definedName name="load_profile_building_id">#REF!</definedName>
    <definedName name="load_profile_enduse">#REF!</definedName>
    <definedName name="load_profile_file">#REF!</definedName>
    <definedName name="load_profile_scenario_id">#REF!</definedName>
    <definedName name="output_file_path">#REF!</definedName>
    <definedName name="random_seed">#REF!</definedName>
    <definedName name="random_setting">#REF!</definedName>
    <definedName name="scenario_duration_in_hours">#REF!</definedName>
    <definedName name="scenario_fixed_frequency_in_years">#REF!</definedName>
    <definedName name="scenario_id">#REF!</definedName>
    <definedName name="scenario_max_occurrence">#REF!</definedName>
    <definedName name="simulation_dur_years">#REF!</definedName>
    <definedName name="simulation_duration_in_years">#REF!</definedName>
    <definedName name="stats_file_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" i="586" l="1"/>
  <c r="B2" i="586"/>
  <c r="A2" i="586"/>
</calcChain>
</file>

<file path=xl/sharedStrings.xml><?xml version="1.0" encoding="utf-8"?>
<sst xmlns="http://schemas.openxmlformats.org/spreadsheetml/2006/main" count="215" uniqueCount="128">
  <si>
    <t>scenario id</t>
  </si>
  <si>
    <t>scenario start time (P[YYYY]-[MM]-[DD]T[hh]:[mm]:[ss])</t>
  </si>
  <si>
    <t>elapsed (hours)</t>
  </si>
  <si>
    <t>blue_sky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</si>
  <si>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</si>
  <si>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</si>
  <si>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</si>
  <si>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</si>
  <si>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</si>
  <si>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</si>
  <si>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</si>
  <si>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</si>
  <si>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</si>
  <si>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</si>
  <si>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load</t>
  </si>
  <si>
    <t>electricity</t>
  </si>
  <si>
    <t>source</t>
  </si>
  <si>
    <t>TOTAL (source)</t>
  </si>
  <si>
    <t>TOTAL (load)</t>
  </si>
  <si>
    <t>TOTAL (storage)</t>
  </si>
  <si>
    <t>TOTAL (waste)</t>
  </si>
  <si>
    <t>ENERGY BALANCE (source-(load+storage+waste))</t>
  </si>
  <si>
    <t>C:\My Projects\e2rin\build\bin\Release\e2rin_multi.exe</t>
  </si>
  <si>
    <t>heating</t>
  </si>
  <si>
    <t>Random Setting</t>
  </si>
  <si>
    <t>Auto</t>
  </si>
  <si>
    <t>simulation_duration_in_years</t>
  </si>
  <si>
    <t>random_setting</t>
  </si>
  <si>
    <t>random_seed</t>
  </si>
  <si>
    <t>scenario_id</t>
  </si>
  <si>
    <t>building_id</t>
  </si>
  <si>
    <t>enduse</t>
  </si>
  <si>
    <t>file</t>
  </si>
  <si>
    <t>other_blue_sky_electricity.csv</t>
  </si>
  <si>
    <t>id</t>
  </si>
  <si>
    <t>duration_in_hours</t>
  </si>
  <si>
    <t>max_occurrence</t>
  </si>
  <si>
    <t>utility</t>
  </si>
  <si>
    <t>utility_electricity_bus-inflow(0):achieved (kW)</t>
  </si>
  <si>
    <t>utility_electricity_bus-inflow(0):requested (kW)</t>
  </si>
  <si>
    <t>utility_electricity_bus-outflow(0):achieved (kW)</t>
  </si>
  <si>
    <t>utility_electricity_bus-outflow(0):requested (kW)</t>
  </si>
  <si>
    <t>utility_electricity_bus-outflow(1):achieved (kW)</t>
  </si>
  <si>
    <t>utility_electricity_bus-outflow(1):requested (kW)</t>
  </si>
  <si>
    <t>utility_electricity_bus-inflow(0)</t>
  </si>
  <si>
    <t>muxer</t>
  </si>
  <si>
    <t>utility_electricity_bus-outflow(0)</t>
  </si>
  <si>
    <t>utility_electricity_bus-outflow(1)</t>
  </si>
  <si>
    <t>location_id</t>
  </si>
  <si>
    <t>outflow</t>
  </si>
  <si>
    <t>is_limited</t>
  </si>
  <si>
    <t>max_outflow_kW</t>
  </si>
  <si>
    <t>inflow</t>
  </si>
  <si>
    <t>lossflow</t>
  </si>
  <si>
    <t>constant_efficiency</t>
  </si>
  <si>
    <t>value_in_hours</t>
  </si>
  <si>
    <t>always</t>
  </si>
  <si>
    <t>occurrence_distribution</t>
  </si>
  <si>
    <t>calc_reliability</t>
  </si>
  <si>
    <t>source_location_id</t>
  </si>
  <si>
    <t>destination_location_id</t>
  </si>
  <si>
    <t>flow</t>
  </si>
  <si>
    <t>capacity_kWh</t>
  </si>
  <si>
    <t>max_inflow_kW</t>
  </si>
  <si>
    <t>LOCATIONS</t>
  </si>
  <si>
    <t>COMPONENTS</t>
  </si>
  <si>
    <t>SCENARIOS</t>
  </si>
  <si>
    <t>natural gas</t>
  </si>
  <si>
    <t>diesel</t>
  </si>
  <si>
    <t>statistical distribution types</t>
  </si>
  <si>
    <t>fixed</t>
  </si>
  <si>
    <t>uniform</t>
  </si>
  <si>
    <t>component types</t>
  </si>
  <si>
    <t>batteries (storage)</t>
  </si>
  <si>
    <t>boiler (converter)</t>
  </si>
  <si>
    <t>electric generator (converter)</t>
  </si>
  <si>
    <t>generic converter</t>
  </si>
  <si>
    <t>generic storage</t>
  </si>
  <si>
    <t>thermal energy storage (storage)</t>
  </si>
  <si>
    <t>component_id</t>
  </si>
  <si>
    <t>failure_mode_id</t>
  </si>
  <si>
    <t>fragility_id</t>
  </si>
  <si>
    <t>name</t>
  </si>
  <si>
    <t>value</t>
  </si>
  <si>
    <t>failure_cdf</t>
  </si>
  <si>
    <t>repair_cdf</t>
  </si>
  <si>
    <t>vulnerable_to</t>
  </si>
  <si>
    <t>lower_bound</t>
  </si>
  <si>
    <t>upper_bound</t>
  </si>
  <si>
    <t>num_inflows</t>
  </si>
  <si>
    <t>num_outflows</t>
  </si>
  <si>
    <t>chp - electric primary (dual converter)</t>
  </si>
  <si>
    <t>chp - heating primary (dual converter)</t>
  </si>
  <si>
    <t>generic dual converter</t>
  </si>
  <si>
    <t>line (pass-through)</t>
  </si>
  <si>
    <t>primary_outflow</t>
  </si>
  <si>
    <t>secondary_outflow</t>
  </si>
  <si>
    <t>primary_efficiency</t>
  </si>
  <si>
    <t>secondary_efficiency</t>
  </si>
  <si>
    <t>link_id</t>
  </si>
  <si>
    <t>flows</t>
  </si>
  <si>
    <t>NETWORK ID</t>
  </si>
  <si>
    <t>SOURCE</t>
  </si>
  <si>
    <t>DESTINATION</t>
  </si>
  <si>
    <t>FLOW</t>
  </si>
  <si>
    <t>load1</t>
  </si>
  <si>
    <t>every_30_years</t>
  </si>
  <si>
    <t>source1</t>
  </si>
  <si>
    <t>mc</t>
  </si>
  <si>
    <t>load2</t>
  </si>
  <si>
    <t>other</t>
  </si>
  <si>
    <t>link1</t>
  </si>
  <si>
    <t>link2</t>
  </si>
  <si>
    <t>mc_blue_sky_electricity.csv</t>
  </si>
  <si>
    <t>load1:achieved (kW)</t>
  </si>
  <si>
    <t>load1:requested (kW)</t>
  </si>
  <si>
    <t>load2:achieved (kW)</t>
  </si>
  <si>
    <t>load2:requested (kW)</t>
  </si>
  <si>
    <t>source1:achieved (kW)</t>
  </si>
  <si>
    <t>source1:requested (kW)</t>
  </si>
  <si>
    <t>Executible Location:</t>
  </si>
  <si>
    <t>Duration</t>
  </si>
  <si>
    <t>years</t>
  </si>
  <si>
    <t>Random Seed</t>
  </si>
  <si>
    <t>SIMULATION PARAMETERS</t>
  </si>
  <si>
    <t>E2RIN PROGRAM:</t>
  </si>
  <si>
    <t>LIBRARIES:</t>
  </si>
  <si>
    <t>fixed_10yrs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</si>
</sst>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3F3F76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8"/>
      <name val="Segoe UI"/>
      <family val="2"/>
    </font>
    <font>
      <sz val="8"/>
      <color rgb="FF000000"/>
      <name val="Calibri"/>
      <family val="2"/>
    </font>
    <font>
      <sz val="8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C99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13">
    <xf numFmtId="0" fontId="0" fillId="0" borderId="0"/>
    <xf numFmtId="0" fontId="11" fillId="0" borderId="0"/>
    <xf numFmtId="0" fontId="13" fillId="2" borderId="1" applyNumberFormat="0" applyAlignment="0" applyProtection="0"/>
    <xf numFmtId="0" fontId="10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5">
    <xf numFmtId="0" fontId="0" fillId="0" borderId="0" xfId="0"/>
    <xf numFmtId="0" fontId="12" fillId="0" borderId="0" xfId="0" applyFont="1"/>
    <xf numFmtId="0" fontId="14" fillId="0" borderId="0" xfId="0" applyFont="1"/>
    <xf numFmtId="0" fontId="1" fillId="0" borderId="0" xfId="12"/>
    <xf numFmtId="11" fontId="1" fillId="0" borderId="0" xfId="12" applyNumberFormat="1"/>
  </cellXfs>
  <cellStyles count="13">
    <cellStyle name="Input 2" xfId="2" xr:uid="{C09289F3-8D70-4E11-80C2-A38AE4B4C572}"/>
    <cellStyle name="Normal" xfId="0" builtinId="0"/>
    <cellStyle name="Normal 10" xfId="10" xr:uid="{2A770C02-DCAE-4518-8AFA-599CB682686D}"/>
    <cellStyle name="Normal 11" xfId="11" xr:uid="{622E428C-58C4-4C61-8AC6-504EE4A7A323}"/>
    <cellStyle name="Normal 12" xfId="12" xr:uid="{188F5474-BAFC-41D2-9A78-4A328E9BAF11}"/>
    <cellStyle name="Normal 2" xfId="1" xr:uid="{4D922DCD-CD86-46C0-9F90-DC1F6A447F1A}"/>
    <cellStyle name="Normal 3" xfId="3" xr:uid="{9397C161-F4FB-45F1-BBC9-5C04567F1989}"/>
    <cellStyle name="Normal 4" xfId="4" xr:uid="{4A5641CE-048A-4A97-B45E-4B2A88E758BC}"/>
    <cellStyle name="Normal 5" xfId="5" xr:uid="{08E6D2A2-9817-4076-B294-AB02B649075A}"/>
    <cellStyle name="Normal 6" xfId="6" xr:uid="{3D90F837-9B7A-47BC-84EC-99E36D016EA4}"/>
    <cellStyle name="Normal 7" xfId="7" xr:uid="{030BD311-CF07-4365-8FF8-4D3AC59ABF17}"/>
    <cellStyle name="Normal 8" xfId="8" xr:uid="{D593FFC4-AD0D-4332-B797-8D64208F9053}"/>
    <cellStyle name="Normal 9" xfId="9" xr:uid="{7D6995FC-A771-49C0-A793-C0132189E6A7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CheckBox" lockText="1" noThreeD="1"/>
</file>

<file path=xl/ctrlProps/ctrlProp16.xml><?xml version="1.0" encoding="utf-8"?>
<formControlPr xmlns="http://schemas.microsoft.com/office/spreadsheetml/2009/9/main" objectType="CheckBox" lockText="1" noThreeD="1"/>
</file>

<file path=xl/ctrlProps/ctrlProp17.xml><?xml version="1.0" encoding="utf-8"?>
<formControlPr xmlns="http://schemas.microsoft.com/office/spreadsheetml/2009/9/main" objectType="CheckBox" lockText="1" noThreeD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0</xdr:row>
      <xdr:rowOff>165100</xdr:rowOff>
    </xdr:from>
    <xdr:to>
      <xdr:col>9</xdr:col>
      <xdr:colOff>444500</xdr:colOff>
      <xdr:row>67</xdr:row>
      <xdr:rowOff>23812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3280231" y="165100"/>
          <a:ext cx="8107363" cy="13419931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3810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STATISTICAL DISTRIBUTION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currently, the only option supported is fixed (more in the pipeline!)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fixed-cdf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FRAGILITY CURVE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fragility-curve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FAILURE MODE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failure-mode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COMPONENT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flow queries should be dropdowns of typical flows (see menus sheet)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adds id to "COMPONENTS" column on this sheet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(type=converter)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converter-component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boiler =&gt; don't ask the user, the outflow is "heating"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electric generator =&gt; don't ask the user, the outflow is "electricity"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general converter =&gt; ask the user to specify all flows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(type=dual-outflow-converter)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chp=&gt;primary is electricity, secondary heating OR primary is heating, secondary electricity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generic dual converter-&gt; ask the user to specify the flows; fill in the dual-outflow-converter-comp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(type=load)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load-component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 = pass-through)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used to simulate lines and pipe-runs. Fills in the pass-through-component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(type=storage)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storage-component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battery =&gt; flow is electricy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thermal energy storage =&gt; flow is heating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(type=source)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source-component table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SCENARIO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scenario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occurrence distribution is ideally a pulldown of all statistical distributions available thus far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APPLY DAMAGE METRICS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damage-intensity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scenario to apply to should be a pulldown of scenarios added thus far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APPLY FAILURE MODE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component-failure-mode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pulldown for available components and available failure modes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APPLY FRAGILITY CURVE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component-fragility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pull down of available components and available fragility curves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LOAD PROFILE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load-profile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pull down of available locations / flows and an input box for the CSV file for load profile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ADD NETWORK LINK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fills in the network-link table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drop down for locations? (source/destination)</a:t>
          </a:r>
        </a:p>
        <a:p>
          <a:pPr rtl="0"/>
          <a:r>
            <a:rPr lang="en-US" sz="1400" b="1" i="0" u="none" strike="noStrike" baseline="0">
              <a:solidFill>
                <a:schemeClr val="dk1"/>
              </a:solidFill>
              <a:latin typeface="+mn-lt"/>
              <a:ea typeface="+mn-ea"/>
              <a:cs typeface="+mn-cs"/>
            </a:rPr>
            <a:t>* drop down for flow type</a:t>
          </a:r>
        </a:p>
        <a:p>
          <a:pPr rtl="0"/>
          <a:endParaRPr lang="en-US" sz="1400" b="1" i="0" u="none" strike="noStrike" baseline="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57150</xdr:rowOff>
        </xdr:from>
        <xdr:to>
          <xdr:col>3</xdr:col>
          <xdr:colOff>6575</xdr:colOff>
          <xdr:row>11</xdr:row>
          <xdr:rowOff>133350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B56BB43F-2538-4B4E-8F3E-8320326CF9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Failure Mode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12</xdr:row>
          <xdr:rowOff>9525</xdr:rowOff>
        </xdr:from>
        <xdr:to>
          <xdr:col>3</xdr:col>
          <xdr:colOff>0</xdr:colOff>
          <xdr:row>13</xdr:row>
          <xdr:rowOff>85725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91E3D0CA-D639-4D9D-933B-D07C3E1529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Fragility Curve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13</xdr:row>
          <xdr:rowOff>171450</xdr:rowOff>
        </xdr:from>
        <xdr:to>
          <xdr:col>3</xdr:col>
          <xdr:colOff>0</xdr:colOff>
          <xdr:row>15</xdr:row>
          <xdr:rowOff>47625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16B71752-3EEA-4765-AC27-8BCBCB87D9A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</a:rPr>
                <a:t>Add Statistical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4AB4B97B-EB1D-4CE5-B112-7299AC493C40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4" name="Button 1705" hidden="1">
                <a:extLst>
                  <a:ext uri="{63B3BB69-23CF-44E3-9099-C40C66FF867C}">
                    <a14:compatExt spid="_x0000_s44084"/>
                  </a:ext>
                  <a:ext uri="{FF2B5EF4-FFF2-40B4-BE49-F238E27FC236}">
                    <a16:creationId xmlns:a16="http://schemas.microsoft.com/office/drawing/2014/main" id="{00000000-0008-0000-0400-0000A912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1]!DoNothing" textlink="">
        <xdr:nvSpPr>
          <xdr:cNvPr id="25" name="Minus Sign 24">
            <a:extLst>
              <a:ext uri="{FF2B5EF4-FFF2-40B4-BE49-F238E27FC236}">
                <a16:creationId xmlns:a16="http://schemas.microsoft.com/office/drawing/2014/main" id="{3C7D383F-D681-4DD1-B18D-745029C67859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4069" name="Select All" hidden="1">
              <a:extLst>
                <a:ext uri="{63B3BB69-23CF-44E3-9099-C40C66FF867C}">
                  <a14:compatExt spid="_x0000_s44069"/>
                </a:ext>
                <a:ext uri="{FF2B5EF4-FFF2-40B4-BE49-F238E27FC236}">
                  <a16:creationId xmlns:a16="http://schemas.microsoft.com/office/drawing/2014/main" id="{00000000-0008-0000-0100-000025A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7" name="add_group">
          <a:extLst>
            <a:ext uri="{FF2B5EF4-FFF2-40B4-BE49-F238E27FC236}">
              <a16:creationId xmlns:a16="http://schemas.microsoft.com/office/drawing/2014/main" id="{75CC4ECB-3267-4906-ABFA-E1B99CDFAEE2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2" name="Button 1603" hidden="1">
                <a:extLst>
                  <a:ext uri="{63B3BB69-23CF-44E3-9099-C40C66FF867C}">
                    <a14:compatExt spid="_x0000_s44082"/>
                  </a:ext>
                  <a:ext uri="{FF2B5EF4-FFF2-40B4-BE49-F238E27FC236}">
                    <a16:creationId xmlns:a16="http://schemas.microsoft.com/office/drawing/2014/main" id="{00000000-0008-0000-0400-00004312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Component" textlink="">
        <xdr:nvSpPr>
          <xdr:cNvPr id="19" name="Plus Sign 18">
            <a:extLst>
              <a:ext uri="{FF2B5EF4-FFF2-40B4-BE49-F238E27FC236}">
                <a16:creationId xmlns:a16="http://schemas.microsoft.com/office/drawing/2014/main" id="{0C3E7075-28DF-4C49-A7E0-4DA848853DF5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20" name="remove_group" hidden="1">
          <a:extLst>
            <a:ext uri="{FF2B5EF4-FFF2-40B4-BE49-F238E27FC236}">
              <a16:creationId xmlns:a16="http://schemas.microsoft.com/office/drawing/2014/main" id="{0008C02F-E57F-43B8-B5B5-3C84226D35B9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4083" name="Button 1549" hidden="1">
                <a:extLst>
                  <a:ext uri="{63B3BB69-23CF-44E3-9099-C40C66FF867C}">
                    <a14:compatExt spid="_x0000_s44083"/>
                  </a:ext>
                  <a:ext uri="{FF2B5EF4-FFF2-40B4-BE49-F238E27FC236}">
                    <a16:creationId xmlns:a16="http://schemas.microsoft.com/office/drawing/2014/main" id="{00000000-0008-0000-0400-00000D12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22" name="Minus Sign 21" hidden="1">
            <a:extLst>
              <a:ext uri="{FF2B5EF4-FFF2-40B4-BE49-F238E27FC236}">
                <a16:creationId xmlns:a16="http://schemas.microsoft.com/office/drawing/2014/main" id="{4D8D01A3-6035-48B7-8BFE-664C2815EE14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4086" name="Check Box 54" hidden="1">
              <a:extLst>
                <a:ext uri="{63B3BB69-23CF-44E3-9099-C40C66FF867C}">
                  <a14:compatExt spid="_x0000_s44086"/>
                </a:ext>
                <a:ext uri="{FF2B5EF4-FFF2-40B4-BE49-F238E27FC236}">
                  <a16:creationId xmlns:a16="http://schemas.microsoft.com/office/drawing/2014/main" id="{61986AB7-7141-469D-BEE2-694FAF5B381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4087" name="Check Box 55" hidden="1">
              <a:extLst>
                <a:ext uri="{63B3BB69-23CF-44E3-9099-C40C66FF867C}">
                  <a14:compatExt spid="_x0000_s44087"/>
                </a:ext>
                <a:ext uri="{FF2B5EF4-FFF2-40B4-BE49-F238E27FC236}">
                  <a16:creationId xmlns:a16="http://schemas.microsoft.com/office/drawing/2014/main" id="{26B62B2E-7514-43CA-8B67-F194E58B54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1</xdr:col>
          <xdr:colOff>19050</xdr:colOff>
          <xdr:row>6</xdr:row>
          <xdr:rowOff>9525</xdr:rowOff>
        </xdr:to>
        <xdr:sp macro="" textlink="">
          <xdr:nvSpPr>
            <xdr:cNvPr id="44088" name="Check Box 56" hidden="1">
              <a:extLst>
                <a:ext uri="{63B3BB69-23CF-44E3-9099-C40C66FF867C}">
                  <a14:compatExt spid="_x0000_s44088"/>
                </a:ext>
                <a:ext uri="{FF2B5EF4-FFF2-40B4-BE49-F238E27FC236}">
                  <a16:creationId xmlns:a16="http://schemas.microsoft.com/office/drawing/2014/main" id="{E34D695E-E89C-418A-A641-F68B2576CC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FF5D4CBF-5650-4784-AD91-A21A373EC5D8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100" name="Button 1705" hidden="1">
                <a:extLst>
                  <a:ext uri="{63B3BB69-23CF-44E3-9099-C40C66FF867C}">
                    <a14:compatExt spid="_x0000_s46100"/>
                  </a:ext>
                  <a:ext uri="{FF2B5EF4-FFF2-40B4-BE49-F238E27FC236}">
                    <a16:creationId xmlns:a16="http://schemas.microsoft.com/office/drawing/2014/main" id="{00000000-0008-0000-0400-0000A912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1]!DoNothing" textlink="">
        <xdr:nvSpPr>
          <xdr:cNvPr id="19" name="Minus Sign 18">
            <a:extLst>
              <a:ext uri="{FF2B5EF4-FFF2-40B4-BE49-F238E27FC236}">
                <a16:creationId xmlns:a16="http://schemas.microsoft.com/office/drawing/2014/main" id="{CAF5DF2D-B62E-43BC-8E1A-2F7445B56889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6091" name="Select All" hidden="1">
              <a:extLst>
                <a:ext uri="{63B3BB69-23CF-44E3-9099-C40C66FF867C}">
                  <a14:compatExt spid="_x0000_s46091"/>
                </a:ext>
                <a:ext uri="{FF2B5EF4-FFF2-40B4-BE49-F238E27FC236}">
                  <a16:creationId xmlns:a16="http://schemas.microsoft.com/office/drawing/2014/main" id="{00000000-0008-0000-0200-00000BB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11" name="add_group">
          <a:extLst>
            <a:ext uri="{FF2B5EF4-FFF2-40B4-BE49-F238E27FC236}">
              <a16:creationId xmlns:a16="http://schemas.microsoft.com/office/drawing/2014/main" id="{6EF259B2-E25B-4A63-950E-ABC8D9A04E94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8" name="Button 1603" hidden="1">
                <a:extLst>
                  <a:ext uri="{63B3BB69-23CF-44E3-9099-C40C66FF867C}">
                    <a14:compatExt spid="_x0000_s46098"/>
                  </a:ext>
                  <a:ext uri="{FF2B5EF4-FFF2-40B4-BE49-F238E27FC236}">
                    <a16:creationId xmlns:a16="http://schemas.microsoft.com/office/drawing/2014/main" id="{00000000-0008-0000-0400-00004312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NetworkLink" textlink="">
        <xdr:nvSpPr>
          <xdr:cNvPr id="13" name="Plus Sign 12">
            <a:extLst>
              <a:ext uri="{FF2B5EF4-FFF2-40B4-BE49-F238E27FC236}">
                <a16:creationId xmlns:a16="http://schemas.microsoft.com/office/drawing/2014/main" id="{276D3F09-7FA8-4DD4-BED9-E75ACFA1F65F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4" name="remove_group" hidden="1">
          <a:extLst>
            <a:ext uri="{FF2B5EF4-FFF2-40B4-BE49-F238E27FC236}">
              <a16:creationId xmlns:a16="http://schemas.microsoft.com/office/drawing/2014/main" id="{373E6B71-A959-4991-B3AC-1F5560FA3EBF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6099" name="Button 1549" hidden="1">
                <a:extLst>
                  <a:ext uri="{63B3BB69-23CF-44E3-9099-C40C66FF867C}">
                    <a14:compatExt spid="_x0000_s46099"/>
                  </a:ext>
                  <a:ext uri="{FF2B5EF4-FFF2-40B4-BE49-F238E27FC236}">
                    <a16:creationId xmlns:a16="http://schemas.microsoft.com/office/drawing/2014/main" id="{00000000-0008-0000-0400-00000D12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6" name="Minus Sign 15" hidden="1">
            <a:extLst>
              <a:ext uri="{FF2B5EF4-FFF2-40B4-BE49-F238E27FC236}">
                <a16:creationId xmlns:a16="http://schemas.microsoft.com/office/drawing/2014/main" id="{03110707-290E-41C0-826F-C614DE9CC53D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6101" name="Check Box 21" hidden="1">
              <a:extLst>
                <a:ext uri="{63B3BB69-23CF-44E3-9099-C40C66FF867C}">
                  <a14:compatExt spid="_x0000_s46101"/>
                </a:ext>
                <a:ext uri="{FF2B5EF4-FFF2-40B4-BE49-F238E27FC236}">
                  <a16:creationId xmlns:a16="http://schemas.microsoft.com/office/drawing/2014/main" id="{9C51B3E3-05F1-4AA3-AA4C-D9F6A43B758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4</xdr:row>
          <xdr:rowOff>0</xdr:rowOff>
        </xdr:from>
        <xdr:to>
          <xdr:col>1</xdr:col>
          <xdr:colOff>19050</xdr:colOff>
          <xdr:row>5</xdr:row>
          <xdr:rowOff>9525</xdr:rowOff>
        </xdr:to>
        <xdr:sp macro="" textlink="">
          <xdr:nvSpPr>
            <xdr:cNvPr id="46103" name="Check Box 23" hidden="1">
              <a:extLst>
                <a:ext uri="{63B3BB69-23CF-44E3-9099-C40C66FF867C}">
                  <a14:compatExt spid="_x0000_s46103"/>
                </a:ext>
                <a:ext uri="{FF2B5EF4-FFF2-40B4-BE49-F238E27FC236}">
                  <a16:creationId xmlns:a16="http://schemas.microsoft.com/office/drawing/2014/main" id="{ED19AD4E-220B-4428-91DE-EC4805A572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365D4CE3-319D-4491-B05A-E4A4B1E410B6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100" name="Button 1705" hidden="1">
                <a:extLst>
                  <a:ext uri="{63B3BB69-23CF-44E3-9099-C40C66FF867C}">
                    <a14:compatExt spid="_x0000_s45100"/>
                  </a:ext>
                  <a:ext uri="{FF2B5EF4-FFF2-40B4-BE49-F238E27FC236}">
                    <a16:creationId xmlns:a16="http://schemas.microsoft.com/office/drawing/2014/main" id="{00000000-0008-0000-0400-0000A912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1]!DoNothing" textlink="">
        <xdr:nvSpPr>
          <xdr:cNvPr id="20" name="Minus Sign 19">
            <a:extLst>
              <a:ext uri="{FF2B5EF4-FFF2-40B4-BE49-F238E27FC236}">
                <a16:creationId xmlns:a16="http://schemas.microsoft.com/office/drawing/2014/main" id="{25B7649D-1921-4EDE-91E5-BD7B7EF4B785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19050</xdr:colOff>
          <xdr:row>3</xdr:row>
          <xdr:rowOff>9525</xdr:rowOff>
        </xdr:to>
        <xdr:sp macro="" textlink="">
          <xdr:nvSpPr>
            <xdr:cNvPr id="45082" name="Select All" hidden="1">
              <a:extLst>
                <a:ext uri="{63B3BB69-23CF-44E3-9099-C40C66FF867C}">
                  <a14:compatExt spid="_x0000_s45082"/>
                </a:ext>
                <a:ext uri="{FF2B5EF4-FFF2-40B4-BE49-F238E27FC236}">
                  <a16:creationId xmlns:a16="http://schemas.microsoft.com/office/drawing/2014/main" id="{00000000-0008-0000-0300-00001AB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1</xdr:col>
      <xdr:colOff>19050</xdr:colOff>
      <xdr:row>0</xdr:row>
      <xdr:rowOff>47625</xdr:rowOff>
    </xdr:from>
    <xdr:to>
      <xdr:col>1</xdr:col>
      <xdr:colOff>476250</xdr:colOff>
      <xdr:row>1</xdr:row>
      <xdr:rowOff>238125</xdr:rowOff>
    </xdr:to>
    <xdr:grpSp>
      <xdr:nvGrpSpPr>
        <xdr:cNvPr id="9" name="add_group">
          <a:extLst>
            <a:ext uri="{FF2B5EF4-FFF2-40B4-BE49-F238E27FC236}">
              <a16:creationId xmlns:a16="http://schemas.microsoft.com/office/drawing/2014/main" id="{1F050BD1-741F-4591-8B1D-66B813B64FB3}"/>
            </a:ext>
          </a:extLst>
        </xdr:cNvPr>
        <xdr:cNvGrpSpPr/>
      </xdr:nvGrpSpPr>
      <xdr:grpSpPr>
        <a:xfrm>
          <a:off x="295275" y="47625"/>
          <a:ext cx="457200" cy="457200"/>
          <a:chOff x="1990723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7" name="Button 1603" hidden="1">
                <a:extLst>
                  <a:ext uri="{63B3BB69-23CF-44E3-9099-C40C66FF867C}">
                    <a14:compatExt spid="_x0000_s45097"/>
                  </a:ext>
                  <a:ext uri="{FF2B5EF4-FFF2-40B4-BE49-F238E27FC236}">
                    <a16:creationId xmlns:a16="http://schemas.microsoft.com/office/drawing/2014/main" id="{00000000-0008-0000-0400-000043120000}"/>
                  </a:ext>
                </a:extLst>
              </xdr:cNvPr>
              <xdr:cNvSpPr/>
            </xdr:nvSpPr>
            <xdr:spPr bwMode="auto">
              <a:xfrm>
                <a:off x="1990723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Add</a:t>
                </a:r>
              </a:p>
            </xdr:txBody>
          </xdr:sp>
        </mc:Choice>
        <mc:Fallback/>
      </mc:AlternateContent>
      <xdr:sp macro="[0]!AddScenario" textlink="">
        <xdr:nvSpPr>
          <xdr:cNvPr id="11" name="Plus Sign 10">
            <a:extLst>
              <a:ext uri="{FF2B5EF4-FFF2-40B4-BE49-F238E27FC236}">
                <a16:creationId xmlns:a16="http://schemas.microsoft.com/office/drawing/2014/main" id="{F631F48A-A1F7-4287-8814-DB974454489E}"/>
              </a:ext>
            </a:extLst>
          </xdr:cNvPr>
          <xdr:cNvSpPr/>
        </xdr:nvSpPr>
        <xdr:spPr>
          <a:xfrm>
            <a:off x="2133600" y="209549"/>
            <a:ext cx="182880" cy="182880"/>
          </a:xfrm>
          <a:prstGeom prst="mathPlus">
            <a:avLst/>
          </a:prstGeom>
          <a:solidFill>
            <a:srgbClr val="0070C0"/>
          </a:solidFill>
          <a:ln>
            <a:noFill/>
          </a:ln>
          <a:effectLst>
            <a:glow>
              <a:schemeClr val="accent1"/>
            </a:glow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542925</xdr:colOff>
      <xdr:row>0</xdr:row>
      <xdr:rowOff>38100</xdr:rowOff>
    </xdr:from>
    <xdr:to>
      <xdr:col>1</xdr:col>
      <xdr:colOff>1000125</xdr:colOff>
      <xdr:row>1</xdr:row>
      <xdr:rowOff>228600</xdr:rowOff>
    </xdr:to>
    <xdr:grpSp>
      <xdr:nvGrpSpPr>
        <xdr:cNvPr id="12" name="remove_group" hidden="1">
          <a:extLst>
            <a:ext uri="{FF2B5EF4-FFF2-40B4-BE49-F238E27FC236}">
              <a16:creationId xmlns:a16="http://schemas.microsoft.com/office/drawing/2014/main" id="{76903641-196A-4174-98F9-0AC640F0B7E5}"/>
            </a:ext>
          </a:extLst>
        </xdr:cNvPr>
        <xdr:cNvGrpSpPr/>
      </xdr:nvGrpSpPr>
      <xdr:grpSpPr>
        <a:xfrm>
          <a:off x="819150" y="38100"/>
          <a:ext cx="457200" cy="457200"/>
          <a:chOff x="2486025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8" name="Button 1549" hidden="1">
                <a:extLst>
                  <a:ext uri="{63B3BB69-23CF-44E3-9099-C40C66FF867C}">
                    <a14:compatExt spid="_x0000_s45098"/>
                  </a:ext>
                  <a:ext uri="{FF2B5EF4-FFF2-40B4-BE49-F238E27FC236}">
                    <a16:creationId xmlns:a16="http://schemas.microsoft.com/office/drawing/2014/main" id="{00000000-0008-0000-0400-00000D120000}"/>
                  </a:ext>
                </a:extLst>
              </xdr:cNvPr>
              <xdr:cNvSpPr/>
            </xdr:nvSpPr>
            <xdr:spPr bwMode="auto">
              <a:xfrm>
                <a:off x="2486025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Remove</a:t>
                </a:r>
              </a:p>
            </xdr:txBody>
          </xdr:sp>
        </mc:Choice>
        <mc:Fallback/>
      </mc:AlternateContent>
      <xdr:sp macro="[0]!DeleteCheckboxandRow" textlink="">
        <xdr:nvSpPr>
          <xdr:cNvPr id="14" name="Minus Sign 13" hidden="1">
            <a:extLst>
              <a:ext uri="{FF2B5EF4-FFF2-40B4-BE49-F238E27FC236}">
                <a16:creationId xmlns:a16="http://schemas.microsoft.com/office/drawing/2014/main" id="{9E45349D-C8FA-4375-A3B1-AB88CC47171E}"/>
              </a:ext>
            </a:extLst>
          </xdr:cNvPr>
          <xdr:cNvSpPr/>
        </xdr:nvSpPr>
        <xdr:spPr>
          <a:xfrm>
            <a:off x="2628900" y="200025"/>
            <a:ext cx="182880" cy="182880"/>
          </a:xfrm>
          <a:prstGeom prst="mathMinus">
            <a:avLst/>
          </a:prstGeom>
          <a:solidFill>
            <a:srgbClr val="FF000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800"/>
          </a:p>
        </xdr:txBody>
      </xdr:sp>
    </xdr:grpSp>
    <xdr:clientData/>
  </xdr:twoCellAnchor>
  <xdr:twoCellAnchor editAs="absolute">
    <xdr:from>
      <xdr:col>1</xdr:col>
      <xdr:colOff>1047750</xdr:colOff>
      <xdr:row>0</xdr:row>
      <xdr:rowOff>38100</xdr:rowOff>
    </xdr:from>
    <xdr:to>
      <xdr:col>1</xdr:col>
      <xdr:colOff>1504950</xdr:colOff>
      <xdr:row>1</xdr:row>
      <xdr:rowOff>228600</xdr:rowOff>
    </xdr:to>
    <xdr:grpSp>
      <xdr:nvGrpSpPr>
        <xdr:cNvPr id="15" name="run_group">
          <a:extLst>
            <a:ext uri="{FF2B5EF4-FFF2-40B4-BE49-F238E27FC236}">
              <a16:creationId xmlns:a16="http://schemas.microsoft.com/office/drawing/2014/main" id="{2C6A6B31-EE58-4114-ABB0-27D7C34E54C0}"/>
            </a:ext>
          </a:extLst>
        </xdr:cNvPr>
        <xdr:cNvGrpSpPr/>
      </xdr:nvGrpSpPr>
      <xdr:grpSpPr>
        <a:xfrm>
          <a:off x="1323975" y="38100"/>
          <a:ext cx="457200" cy="457200"/>
          <a:chOff x="3505200" y="123825"/>
          <a:chExt cx="457200" cy="457200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5099" name="Button 1460" hidden="1">
                <a:extLst>
                  <a:ext uri="{63B3BB69-23CF-44E3-9099-C40C66FF867C}">
                    <a14:compatExt spid="_x0000_s45099"/>
                  </a:ext>
                  <a:ext uri="{FF2B5EF4-FFF2-40B4-BE49-F238E27FC236}">
                    <a16:creationId xmlns:a16="http://schemas.microsoft.com/office/drawing/2014/main" id="{00000000-0008-0000-0400-0000B411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0" rIns="27432" bIns="22860" anchor="b" upright="1"/>
              <a:lstStyle/>
              <a:p>
                <a:pPr algn="ctr" rtl="0">
                  <a:defRPr sz="1000"/>
                </a:pPr>
                <a:r>
                  <a:rPr lang="en-US" sz="800" b="0" i="0" u="none" strike="noStrike" baseline="0">
                    <a:solidFill>
                      <a:srgbClr val="000000"/>
                    </a:solidFill>
                    <a:latin typeface="Calibri"/>
                  </a:rPr>
                  <a:t>Run</a:t>
                </a:r>
              </a:p>
            </xdr:txBody>
          </xdr:sp>
        </mc:Choice>
        <mc:Fallback/>
      </mc:AlternateContent>
      <xdr:sp macro="[0]!_xludf.Run" textlink="">
        <xdr:nvSpPr>
          <xdr:cNvPr id="17" name="Arrow: Pentagon 16">
            <a:extLst>
              <a:ext uri="{FF2B5EF4-FFF2-40B4-BE49-F238E27FC236}">
                <a16:creationId xmlns:a16="http://schemas.microsoft.com/office/drawing/2014/main" id="{E51D39D1-E99B-4EB3-9802-CE3ADB6614A6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solidFill>
            <a:srgbClr val="00B050"/>
          </a:solidFill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</xdr:row>
          <xdr:rowOff>0</xdr:rowOff>
        </xdr:from>
        <xdr:to>
          <xdr:col>1</xdr:col>
          <xdr:colOff>19050</xdr:colOff>
          <xdr:row>4</xdr:row>
          <xdr:rowOff>9525</xdr:rowOff>
        </xdr:to>
        <xdr:sp macro="" textlink="">
          <xdr:nvSpPr>
            <xdr:cNvPr id="45101" name="Check Box 45" hidden="1">
              <a:extLst>
                <a:ext uri="{63B3BB69-23CF-44E3-9099-C40C66FF867C}">
                  <a14:compatExt spid="_x0000_s45101"/>
                </a:ext>
                <a:ext uri="{FF2B5EF4-FFF2-40B4-BE49-F238E27FC236}">
                  <a16:creationId xmlns:a16="http://schemas.microsoft.com/office/drawing/2014/main" id="{DB324981-C448-4CC3-8E72-12E7540C23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y%20Projects/modelkit-excel/source/excel/modelkit-exce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tions"/>
      <sheetName val="Project"/>
      <sheetName val="Configure"/>
      <sheetName val="Dropdowns"/>
      <sheetName val="Cases"/>
      <sheetName val="Results"/>
    </sheetNames>
    <definedNames>
      <definedName name="DoNoth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ctrlProp" Target="../ctrlProps/ctrlProp4.xml"/><Relationship Id="rId7" Type="http://schemas.openxmlformats.org/officeDocument/2006/relationships/ctrlProp" Target="../ctrlProps/ctrlProp8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6.xml"/><Relationship Id="rId3" Type="http://schemas.openxmlformats.org/officeDocument/2006/relationships/ctrlProp" Target="../ctrlProps/ctrlProp11.xml"/><Relationship Id="rId7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ctrlProp" Target="../ctrlProps/ctrlProp14.xml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93C133-A2C4-49F4-B04C-14B93300DF60}">
  <sheetPr codeName="Sheet3"/>
  <dimension ref="A1"/>
  <sheetViews>
    <sheetView zoomScaleNormal="100" workbookViewId="0"/>
  </sheetViews>
  <sheetFormatPr defaultColWidth="11.625" defaultRowHeight="15.75" x14ac:dyDescent="0.25"/>
  <sheetData/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910783-9BE3-48D1-B2F5-70590D2D7072}">
  <sheetPr codeName="Sheet6"/>
  <dimension ref="A1:D10"/>
  <sheetViews>
    <sheetView tabSelected="1" workbookViewId="0"/>
  </sheetViews>
  <sheetFormatPr defaultRowHeight="15.75" x14ac:dyDescent="0.25"/>
  <cols>
    <col min="1" max="1" width="4.375" customWidth="1"/>
    <col min="2" max="2" width="17.75" bestFit="1" customWidth="1"/>
  </cols>
  <sheetData>
    <row r="1" spans="1:4" x14ac:dyDescent="0.25">
      <c r="A1" s="1" t="s">
        <v>125</v>
      </c>
    </row>
    <row r="2" spans="1:4" x14ac:dyDescent="0.25">
      <c r="B2" s="1" t="s">
        <v>120</v>
      </c>
      <c r="C2" t="s">
        <v>22</v>
      </c>
    </row>
    <row r="3" spans="1:4" x14ac:dyDescent="0.25">
      <c r="A3" s="1"/>
    </row>
    <row r="4" spans="1:4" x14ac:dyDescent="0.25">
      <c r="A4" s="1" t="s">
        <v>124</v>
      </c>
    </row>
    <row r="5" spans="1:4" x14ac:dyDescent="0.25">
      <c r="A5" s="1"/>
      <c r="B5" s="1" t="s">
        <v>121</v>
      </c>
      <c r="C5">
        <v>100</v>
      </c>
      <c r="D5" t="s">
        <v>122</v>
      </c>
    </row>
    <row r="6" spans="1:4" x14ac:dyDescent="0.25">
      <c r="A6" s="1"/>
      <c r="B6" s="1" t="s">
        <v>24</v>
      </c>
      <c r="C6" t="s">
        <v>25</v>
      </c>
    </row>
    <row r="7" spans="1:4" x14ac:dyDescent="0.25">
      <c r="A7" s="1"/>
      <c r="B7" s="1" t="s">
        <v>123</v>
      </c>
      <c r="C7">
        <v>17</v>
      </c>
    </row>
    <row r="8" spans="1:4" x14ac:dyDescent="0.25">
      <c r="A8" s="1"/>
    </row>
    <row r="10" spans="1:4" x14ac:dyDescent="0.25">
      <c r="A10" s="1" t="s">
        <v>126</v>
      </c>
    </row>
  </sheetData>
  <dataValidations count="1">
    <dataValidation type="list" allowBlank="1" showInputMessage="1" showErrorMessage="1" sqref="C6" xr:uid="{EFB2F5FE-4F70-4DC7-9ECF-D71C401A30DE}">
      <formula1>"Auto, Seed"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3" name="Button 1">
              <controlPr defaultSize="0" print="0" autoFill="0" autoPict="0" macro="[0]!AddFailureMode">
                <anchor moveWithCells="1" sizeWithCells="1">
                  <from>
                    <xdr:col>1</xdr:col>
                    <xdr:colOff>0</xdr:colOff>
                    <xdr:row>10</xdr:row>
                    <xdr:rowOff>57150</xdr:rowOff>
                  </from>
                  <to>
                    <xdr:col>3</xdr:col>
                    <xdr:colOff>9525</xdr:colOff>
                    <xdr:row>11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4" name="Button 2">
              <controlPr defaultSize="0" print="0" autoFill="0" autoPict="0" macro="[0]!AddFragilityCurve">
                <anchor moveWithCells="1" sizeWithCells="1">
                  <from>
                    <xdr:col>1</xdr:col>
                    <xdr:colOff>0</xdr:colOff>
                    <xdr:row>12</xdr:row>
                    <xdr:rowOff>9525</xdr:rowOff>
                  </from>
                  <to>
                    <xdr:col>3</xdr:col>
                    <xdr:colOff>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5" name="Button 3">
              <controlPr defaultSize="0" print="0" autoFill="0" autoPict="0" macro="[0]!AddStatisticalDistribution">
                <anchor moveWithCells="1" sizeWithCells="1">
                  <from>
                    <xdr:col>1</xdr:col>
                    <xdr:colOff>0</xdr:colOff>
                    <xdr:row>13</xdr:row>
                    <xdr:rowOff>171450</xdr:rowOff>
                  </from>
                  <to>
                    <xdr:col>3</xdr:col>
                    <xdr:colOff>0</xdr:colOff>
                    <xdr:row>15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BBF92-54F4-4424-B57E-B072AE5B1F82}">
  <sheetPr codeName="Sheet25"/>
  <dimension ref="B1:C6"/>
  <sheetViews>
    <sheetView workbookViewId="0"/>
  </sheetViews>
  <sheetFormatPr defaultRowHeight="15.75" x14ac:dyDescent="0.25"/>
  <cols>
    <col min="1" max="1" width="3.625" customWidth="1"/>
    <col min="2" max="2" width="23.625" bestFit="1" customWidth="1"/>
    <col min="3" max="3" width="23.625" customWidth="1"/>
  </cols>
  <sheetData>
    <row r="1" spans="2:3" ht="21" customHeight="1" x14ac:dyDescent="0.25"/>
    <row r="2" spans="2:3" ht="21" customHeight="1" x14ac:dyDescent="0.25"/>
    <row r="3" spans="2:3" x14ac:dyDescent="0.25">
      <c r="B3" s="1" t="s">
        <v>65</v>
      </c>
      <c r="C3" s="1" t="s">
        <v>64</v>
      </c>
    </row>
    <row r="4" spans="2:3" x14ac:dyDescent="0.25">
      <c r="B4" t="s">
        <v>105</v>
      </c>
      <c r="C4" t="s">
        <v>108</v>
      </c>
    </row>
    <row r="5" spans="2:3" x14ac:dyDescent="0.25">
      <c r="B5" t="s">
        <v>109</v>
      </c>
      <c r="C5" t="s">
        <v>110</v>
      </c>
    </row>
    <row r="6" spans="2:3" x14ac:dyDescent="0.25">
      <c r="B6" t="s">
        <v>107</v>
      </c>
      <c r="C6" t="s">
        <v>37</v>
      </c>
    </row>
  </sheetData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69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2" r:id="rId4" name="Button 1603">
              <controlPr defaultSize="0" disabled="1" autoFill="0" autoPict="0" macro="[0]!AddComponent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3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4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6" r:id="rId7" name="Check Box 54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7" r:id="rId8" name="Check Box 55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88" r:id="rId9" name="Check Box 56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1</xdr:col>
                    <xdr:colOff>19050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0216F-7895-4EF2-B1DD-1EC90A31C953}">
  <sheetPr codeName="Sheet27"/>
  <dimension ref="B1:E5"/>
  <sheetViews>
    <sheetView workbookViewId="0"/>
  </sheetViews>
  <sheetFormatPr defaultRowHeight="15.75" x14ac:dyDescent="0.25"/>
  <cols>
    <col min="1" max="1" width="3.625" customWidth="1"/>
    <col min="2" max="5" width="23.625" customWidth="1"/>
  </cols>
  <sheetData>
    <row r="1" spans="2:5" ht="21" customHeight="1" x14ac:dyDescent="0.25"/>
    <row r="2" spans="2:5" ht="21" customHeight="1" x14ac:dyDescent="0.25"/>
    <row r="3" spans="2:5" x14ac:dyDescent="0.25">
      <c r="B3" s="1" t="s">
        <v>101</v>
      </c>
      <c r="C3" s="1" t="s">
        <v>102</v>
      </c>
      <c r="D3" s="1" t="s">
        <v>103</v>
      </c>
      <c r="E3" s="1" t="s">
        <v>104</v>
      </c>
    </row>
    <row r="4" spans="2:5" x14ac:dyDescent="0.25">
      <c r="B4" t="s">
        <v>111</v>
      </c>
      <c r="C4" t="s">
        <v>37</v>
      </c>
      <c r="D4" t="s">
        <v>108</v>
      </c>
      <c r="E4" t="s">
        <v>15</v>
      </c>
    </row>
    <row r="5" spans="2:5" x14ac:dyDescent="0.25">
      <c r="B5" t="s">
        <v>112</v>
      </c>
      <c r="C5" t="s">
        <v>37</v>
      </c>
      <c r="D5" t="s">
        <v>110</v>
      </c>
      <c r="E5" t="s">
        <v>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091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8" r:id="rId4" name="Button 1603">
              <controlPr defaultSize="0" disabled="1" autoFill="0" autoPict="0" macro="[0]!AddNetworkLink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099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0" r:id="rId6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1" r:id="rId7" name="Check Box 21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103" r:id="rId8" name="Check Box 23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4</xdr:row>
                    <xdr:rowOff>0</xdr:rowOff>
                  </from>
                  <to>
                    <xdr:col>1</xdr:col>
                    <xdr:colOff>19050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B6F09-48DB-4268-88E9-05C33ACBCB31}">
  <sheetPr codeName="Sheet26"/>
  <dimension ref="B1:B4"/>
  <sheetViews>
    <sheetView workbookViewId="0"/>
  </sheetViews>
  <sheetFormatPr defaultRowHeight="15.75" x14ac:dyDescent="0.25"/>
  <cols>
    <col min="1" max="1" width="3.625" customWidth="1"/>
    <col min="2" max="2" width="23.625" customWidth="1"/>
  </cols>
  <sheetData>
    <row r="1" spans="2:2" ht="21" customHeight="1" x14ac:dyDescent="0.25"/>
    <row r="2" spans="2:2" ht="21" customHeight="1" x14ac:dyDescent="0.25"/>
    <row r="3" spans="2:2" x14ac:dyDescent="0.25">
      <c r="B3" s="1" t="s">
        <v>66</v>
      </c>
    </row>
    <row r="4" spans="2:2" x14ac:dyDescent="0.25">
      <c r="B4" t="s">
        <v>3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5082" r:id="rId3" name="Select All">
              <controlPr defaultSize="0" autoFill="0" autoLine="0" autoPict="0" macro="[0]!SelectAll_Click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19050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7" r:id="rId4" name="Button 1603">
              <controlPr defaultSize="0" disabled="1" autoFill="0" autoPict="0" macro="[0]!AddScenario">
                <anchor>
                  <from>
                    <xdr:col>1</xdr:col>
                    <xdr:colOff>19050</xdr:colOff>
                    <xdr:row>0</xdr:row>
                    <xdr:rowOff>47625</xdr:rowOff>
                  </from>
                  <to>
                    <xdr:col>1</xdr:col>
                    <xdr:colOff>476250</xdr:colOff>
                    <xdr:row>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8" r:id="rId5" name="Button 1549">
              <controlPr defaultSize="0" autoFill="0" autoPict="0" macro="[0]!DeleteCheckboxandRow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099" r:id="rId6" name="Button 1460">
              <controlPr defaultSize="0" autoFill="0" autoPict="0" macro="[0]!_xludf.Run">
                <anchor>
                  <from>
                    <xdr:col>1</xdr:col>
                    <xdr:colOff>1047750</xdr:colOff>
                    <xdr:row>0</xdr:row>
                    <xdr:rowOff>38100</xdr:rowOff>
                  </from>
                  <to>
                    <xdr:col>1</xdr:col>
                    <xdr:colOff>1504950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0" r:id="rId7" name="Button 1705">
              <controlPr defaultSize="0" autoFill="0" autoPict="0">
                <anchor>
                  <from>
                    <xdr:col>1</xdr:col>
                    <xdr:colOff>542925</xdr:colOff>
                    <xdr:row>0</xdr:row>
                    <xdr:rowOff>38100</xdr:rowOff>
                  </from>
                  <to>
                    <xdr:col>1</xdr:col>
                    <xdr:colOff>1000125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5101" r:id="rId8" name="Check Box 45">
              <controlPr defaultSize="0" autoFill="0" autoLine="0" autoPict="0" macro="[0]!Module1.Mixed_State">
                <anchor moveWithCells="1">
                  <from>
                    <xdr:col>0</xdr:col>
                    <xdr:colOff>0</xdr:colOff>
                    <xdr:row>3</xdr:row>
                    <xdr:rowOff>0</xdr:rowOff>
                  </from>
                  <to>
                    <xdr:col>1</xdr:col>
                    <xdr:colOff>19050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536B5F-3F09-4A7F-ACCB-F1A495EC1C0D}">
  <sheetPr codeName="Sheet4"/>
  <dimension ref="A1:A23"/>
  <sheetViews>
    <sheetView workbookViewId="0">
      <selection activeCell="A25" sqref="A25"/>
    </sheetView>
  </sheetViews>
  <sheetFormatPr defaultColWidth="11" defaultRowHeight="15.75" x14ac:dyDescent="0.25"/>
  <sheetData>
    <row r="1" spans="1:1" x14ac:dyDescent="0.25">
      <c r="A1" t="s">
        <v>69</v>
      </c>
    </row>
    <row r="2" spans="1:1" x14ac:dyDescent="0.25">
      <c r="A2" t="s">
        <v>70</v>
      </c>
    </row>
    <row r="3" spans="1:1" x14ac:dyDescent="0.25">
      <c r="A3" t="s">
        <v>71</v>
      </c>
    </row>
    <row r="5" spans="1:1" x14ac:dyDescent="0.25">
      <c r="A5" t="s">
        <v>72</v>
      </c>
    </row>
    <row r="6" spans="1:1" x14ac:dyDescent="0.25">
      <c r="A6" t="s">
        <v>73</v>
      </c>
    </row>
    <row r="7" spans="1:1" x14ac:dyDescent="0.25">
      <c r="A7" t="s">
        <v>74</v>
      </c>
    </row>
    <row r="8" spans="1:1" x14ac:dyDescent="0.25">
      <c r="A8" t="s">
        <v>91</v>
      </c>
    </row>
    <row r="9" spans="1:1" x14ac:dyDescent="0.25">
      <c r="A9" t="s">
        <v>92</v>
      </c>
    </row>
    <row r="10" spans="1:1" x14ac:dyDescent="0.25">
      <c r="A10" t="s">
        <v>75</v>
      </c>
    </row>
    <row r="11" spans="1:1" x14ac:dyDescent="0.25">
      <c r="A11" t="s">
        <v>76</v>
      </c>
    </row>
    <row r="12" spans="1:1" x14ac:dyDescent="0.25">
      <c r="A12" t="s">
        <v>77</v>
      </c>
    </row>
    <row r="13" spans="1:1" x14ac:dyDescent="0.25">
      <c r="A13" t="s">
        <v>93</v>
      </c>
    </row>
    <row r="14" spans="1:1" x14ac:dyDescent="0.25">
      <c r="A14" t="s">
        <v>14</v>
      </c>
    </row>
    <row r="15" spans="1:1" x14ac:dyDescent="0.25">
      <c r="A15" t="s">
        <v>94</v>
      </c>
    </row>
    <row r="16" spans="1:1" x14ac:dyDescent="0.25">
      <c r="A16" t="s">
        <v>16</v>
      </c>
    </row>
    <row r="17" spans="1:1" x14ac:dyDescent="0.25">
      <c r="A17" t="s">
        <v>78</v>
      </c>
    </row>
    <row r="19" spans="1:1" x14ac:dyDescent="0.25">
      <c r="A19" t="s">
        <v>100</v>
      </c>
    </row>
    <row r="20" spans="1:1" x14ac:dyDescent="0.25">
      <c r="A20" t="s">
        <v>15</v>
      </c>
    </row>
    <row r="21" spans="1:1" x14ac:dyDescent="0.25">
      <c r="A21" t="s">
        <v>67</v>
      </c>
    </row>
    <row r="22" spans="1:1" x14ac:dyDescent="0.25">
      <c r="A22" t="s">
        <v>23</v>
      </c>
    </row>
    <row r="23" spans="1:1" x14ac:dyDescent="0.25">
      <c r="A23" t="s">
        <v>68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C799A-EA7E-4A6D-97F4-DE2AF71590AA}">
  <sheetPr codeName="Sheet5"/>
  <dimension ref="A1:B1"/>
  <sheetViews>
    <sheetView workbookViewId="0">
      <selection activeCell="C9" sqref="C9"/>
    </sheetView>
  </sheetViews>
  <sheetFormatPr defaultColWidth="11" defaultRowHeight="15.75" x14ac:dyDescent="0.25"/>
  <cols>
    <col min="1" max="1" width="12.375" bestFit="1" customWidth="1"/>
    <col min="2" max="2" width="13.5" bestFit="1" customWidth="1"/>
  </cols>
  <sheetData>
    <row r="1" spans="1:2" x14ac:dyDescent="0.25">
      <c r="A1" s="2" t="s">
        <v>79</v>
      </c>
      <c r="B1" s="2" t="s">
        <v>80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EC286-E785-49C3-B69D-3F067A25481E}">
  <sheetPr codeName="Sheet9"/>
  <dimension ref="A1:B1"/>
  <sheetViews>
    <sheetView workbookViewId="0">
      <selection activeCell="C9" sqref="C9"/>
    </sheetView>
  </sheetViews>
  <sheetFormatPr defaultColWidth="11" defaultRowHeight="15.75" x14ac:dyDescent="0.25"/>
  <cols>
    <col min="1" max="1" width="12.375" bestFit="1" customWidth="1"/>
    <col min="2" max="2" width="9.375" bestFit="1" customWidth="1"/>
  </cols>
  <sheetData>
    <row r="1" spans="1:2" x14ac:dyDescent="0.25">
      <c r="A1" s="2" t="s">
        <v>79</v>
      </c>
      <c r="B1" s="2" t="s">
        <v>81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A975AA-B272-4E7B-ABAF-46C18BF88EEF}">
  <sheetPr codeName="Sheet10"/>
  <dimension ref="A1:F1"/>
  <sheetViews>
    <sheetView workbookViewId="0">
      <selection activeCell="C9" sqref="C9"/>
    </sheetView>
  </sheetViews>
  <sheetFormatPr defaultColWidth="17" defaultRowHeight="15.75" x14ac:dyDescent="0.25"/>
  <sheetData>
    <row r="1" spans="1:6" x14ac:dyDescent="0.25">
      <c r="A1" t="s">
        <v>34</v>
      </c>
      <c r="B1" s="2" t="s">
        <v>48</v>
      </c>
      <c r="C1" s="2" t="s">
        <v>52</v>
      </c>
      <c r="D1" s="2" t="s">
        <v>49</v>
      </c>
      <c r="E1" s="2" t="s">
        <v>53</v>
      </c>
      <c r="F1" s="2" t="s">
        <v>54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A24BED-DFE6-4880-9710-384B4DDFFE21}">
  <sheetPr codeName="Sheet11"/>
  <dimension ref="A1:C1"/>
  <sheetViews>
    <sheetView workbookViewId="0">
      <selection activeCell="C9" sqref="C9"/>
    </sheetView>
  </sheetViews>
  <sheetFormatPr defaultColWidth="11" defaultRowHeight="15.75" x14ac:dyDescent="0.25"/>
  <sheetData>
    <row r="1" spans="1:3" x14ac:dyDescent="0.25">
      <c r="A1" s="2" t="s">
        <v>29</v>
      </c>
      <c r="B1" s="2" t="s">
        <v>82</v>
      </c>
      <c r="C1" s="2" t="s">
        <v>83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D4990B-8C92-43D9-AFFA-830100178B93}">
  <sheetPr codeName="Sheet23"/>
  <dimension ref="A1:H1"/>
  <sheetViews>
    <sheetView workbookViewId="0">
      <selection activeCell="C9" sqref="C9"/>
    </sheetView>
  </sheetViews>
  <sheetFormatPr defaultRowHeight="15.75" x14ac:dyDescent="0.25"/>
  <cols>
    <col min="1" max="10" width="18.125" customWidth="1"/>
  </cols>
  <sheetData>
    <row r="1" spans="1:8" x14ac:dyDescent="0.25">
      <c r="A1" t="s">
        <v>34</v>
      </c>
      <c r="B1" t="s">
        <v>48</v>
      </c>
      <c r="C1" t="s">
        <v>52</v>
      </c>
      <c r="D1" t="s">
        <v>95</v>
      </c>
      <c r="E1" t="s">
        <v>96</v>
      </c>
      <c r="F1" t="s">
        <v>53</v>
      </c>
      <c r="G1" t="s">
        <v>97</v>
      </c>
      <c r="H1" t="s">
        <v>98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F49FAA-5870-4F79-AE74-53BA0BBE0B8A}">
  <sheetPr codeName="Sheet12"/>
  <dimension ref="A1:C1"/>
  <sheetViews>
    <sheetView workbookViewId="0">
      <selection activeCell="C9" sqref="C9"/>
    </sheetView>
  </sheetViews>
  <sheetFormatPr defaultColWidth="11" defaultRowHeight="15.75" x14ac:dyDescent="0.25"/>
  <sheetData>
    <row r="1" spans="1:3" x14ac:dyDescent="0.25">
      <c r="A1" s="2" t="s">
        <v>34</v>
      </c>
      <c r="B1" s="2" t="s">
        <v>84</v>
      </c>
      <c r="C1" s="2" t="s">
        <v>85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DF0670-9138-4D7B-BC30-85109F7D048C}">
  <sheetPr codeName="Sheet13"/>
  <dimension ref="A1:B4"/>
  <sheetViews>
    <sheetView workbookViewId="0">
      <selection activeCell="C9" sqref="C9"/>
    </sheetView>
  </sheetViews>
  <sheetFormatPr defaultColWidth="18.5" defaultRowHeight="15.75" x14ac:dyDescent="0.25"/>
  <sheetData>
    <row r="1" spans="1:2" x14ac:dyDescent="0.25">
      <c r="A1" s="2" t="s">
        <v>34</v>
      </c>
      <c r="B1" t="s">
        <v>55</v>
      </c>
    </row>
    <row r="2" spans="1:2" x14ac:dyDescent="0.25">
      <c r="A2" t="s">
        <v>56</v>
      </c>
      <c r="B2">
        <v>0</v>
      </c>
    </row>
    <row r="3" spans="1:2" x14ac:dyDescent="0.25">
      <c r="A3" s="2" t="s">
        <v>106</v>
      </c>
      <c r="B3">
        <v>262800</v>
      </c>
    </row>
    <row r="4" spans="1:2" x14ac:dyDescent="0.25">
      <c r="A4" t="s">
        <v>127</v>
      </c>
      <c r="B4">
        <v>87600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21E528-491D-42E1-BB08-3FB0895607B3}">
  <sheetPr codeName="Sheet14"/>
  <dimension ref="A1:D1"/>
  <sheetViews>
    <sheetView workbookViewId="0">
      <selection activeCell="C9" sqref="C9"/>
    </sheetView>
  </sheetViews>
  <sheetFormatPr defaultColWidth="16.875" defaultRowHeight="15.75" x14ac:dyDescent="0.25"/>
  <sheetData>
    <row r="1" spans="1:4" x14ac:dyDescent="0.25">
      <c r="A1" s="2" t="s">
        <v>34</v>
      </c>
      <c r="B1" t="s">
        <v>86</v>
      </c>
      <c r="C1" t="s">
        <v>87</v>
      </c>
      <c r="D1" t="s">
        <v>88</v>
      </c>
    </row>
  </sheetData>
  <phoneticPr fontId="15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16B502-A400-40A2-A7EB-E165DC7920E8}">
  <sheetPr codeName="Sheet15"/>
  <dimension ref="A1:C4"/>
  <sheetViews>
    <sheetView workbookViewId="0">
      <selection activeCell="C3" sqref="C3"/>
    </sheetView>
  </sheetViews>
  <sheetFormatPr defaultColWidth="28.375" defaultRowHeight="15.75" x14ac:dyDescent="0.25"/>
  <sheetData>
    <row r="1" spans="1:3" x14ac:dyDescent="0.25">
      <c r="A1" s="2" t="s">
        <v>26</v>
      </c>
      <c r="B1" t="s">
        <v>27</v>
      </c>
      <c r="C1" t="s">
        <v>28</v>
      </c>
    </row>
    <row r="2" spans="1:3" x14ac:dyDescent="0.25">
      <c r="A2">
        <f>Settings!C5</f>
        <v>100</v>
      </c>
      <c r="B2" t="str">
        <f>Settings!C6</f>
        <v>Auto</v>
      </c>
      <c r="C2">
        <f>Settings!C7</f>
        <v>17</v>
      </c>
    </row>
    <row r="3" spans="1:3" x14ac:dyDescent="0.25">
      <c r="A3" s="2"/>
    </row>
    <row r="4" spans="1:3" x14ac:dyDescent="0.25">
      <c r="A4" s="2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ECD2E6-26B6-4A68-AFD9-6DDB86C60C44}">
  <sheetPr codeName="Sheet16"/>
  <dimension ref="A1:C3"/>
  <sheetViews>
    <sheetView workbookViewId="0">
      <selection activeCell="C9" sqref="C9"/>
    </sheetView>
  </sheetViews>
  <sheetFormatPr defaultColWidth="16" defaultRowHeight="15.75" x14ac:dyDescent="0.25"/>
  <sheetData>
    <row r="1" spans="1:3" x14ac:dyDescent="0.25">
      <c r="A1" t="s">
        <v>34</v>
      </c>
      <c r="B1" s="2" t="s">
        <v>48</v>
      </c>
      <c r="C1" t="s">
        <v>52</v>
      </c>
    </row>
    <row r="2" spans="1:3" x14ac:dyDescent="0.25">
      <c r="A2" t="s">
        <v>105</v>
      </c>
      <c r="B2" t="s">
        <v>108</v>
      </c>
      <c r="C2" t="s">
        <v>15</v>
      </c>
    </row>
    <row r="3" spans="1:3" x14ac:dyDescent="0.25">
      <c r="A3" t="s">
        <v>109</v>
      </c>
      <c r="B3" t="s">
        <v>110</v>
      </c>
      <c r="C3" t="s">
        <v>15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E765C-CBCD-4359-BE40-AAAD5D82CA6E}">
  <sheetPr codeName="Sheet17"/>
  <dimension ref="A1:D3"/>
  <sheetViews>
    <sheetView workbookViewId="0">
      <selection activeCell="C9" sqref="C9"/>
    </sheetView>
  </sheetViews>
  <sheetFormatPr defaultColWidth="11" defaultRowHeight="15.75" x14ac:dyDescent="0.25"/>
  <sheetData>
    <row r="1" spans="1:4" x14ac:dyDescent="0.25">
      <c r="A1" s="2" t="s">
        <v>29</v>
      </c>
      <c r="B1" t="s">
        <v>30</v>
      </c>
      <c r="C1" t="s">
        <v>31</v>
      </c>
      <c r="D1" t="s">
        <v>32</v>
      </c>
    </row>
    <row r="2" spans="1:4" x14ac:dyDescent="0.25">
      <c r="A2" t="s">
        <v>3</v>
      </c>
      <c r="B2" t="s">
        <v>108</v>
      </c>
      <c r="C2" t="s">
        <v>15</v>
      </c>
      <c r="D2" t="s">
        <v>113</v>
      </c>
    </row>
    <row r="3" spans="1:4" x14ac:dyDescent="0.25">
      <c r="A3" t="s">
        <v>3</v>
      </c>
      <c r="B3" t="s">
        <v>110</v>
      </c>
      <c r="C3" t="s">
        <v>15</v>
      </c>
      <c r="D3" t="s">
        <v>33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46B977-6514-4DA1-8C96-76226BE973F2}">
  <sheetPr codeName="Sheet18"/>
  <dimension ref="A1:F49"/>
  <sheetViews>
    <sheetView workbookViewId="0">
      <selection activeCell="C9" sqref="C9"/>
    </sheetView>
  </sheetViews>
  <sheetFormatPr defaultColWidth="19.125" defaultRowHeight="15.75" x14ac:dyDescent="0.25"/>
  <sheetData>
    <row r="1" spans="1:5" x14ac:dyDescent="0.25">
      <c r="A1" t="s">
        <v>34</v>
      </c>
      <c r="B1" t="s">
        <v>48</v>
      </c>
      <c r="C1" t="s">
        <v>61</v>
      </c>
      <c r="D1" t="s">
        <v>89</v>
      </c>
      <c r="E1" t="s">
        <v>90</v>
      </c>
    </row>
    <row r="45" spans="6:6" x14ac:dyDescent="0.25">
      <c r="F45" s="2"/>
    </row>
    <row r="46" spans="6:6" x14ac:dyDescent="0.25">
      <c r="F46" s="2"/>
    </row>
    <row r="47" spans="6:6" x14ac:dyDescent="0.25">
      <c r="F47" s="2"/>
    </row>
    <row r="48" spans="6:6" x14ac:dyDescent="0.25">
      <c r="F48" s="2"/>
    </row>
    <row r="49" spans="6:6" x14ac:dyDescent="0.25">
      <c r="F49" s="2"/>
    </row>
  </sheetData>
  <pageMargins left="0.7" right="0.7" top="0.75" bottom="0.75" header="0.3" footer="0.3"/>
  <pageSetup paperSize="0" orientation="portrait" horizontalDpi="0" verticalDpi="0" copie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0A612A-72AD-4E43-A7FF-8013E414BAF2}">
  <sheetPr codeName="Sheet19"/>
  <dimension ref="A1:D3"/>
  <sheetViews>
    <sheetView workbookViewId="0">
      <selection activeCell="C9" sqref="C9"/>
    </sheetView>
  </sheetViews>
  <sheetFormatPr defaultColWidth="20.875" defaultRowHeight="15.75" x14ac:dyDescent="0.25"/>
  <sheetData>
    <row r="1" spans="1:4" x14ac:dyDescent="0.25">
      <c r="A1" t="s">
        <v>34</v>
      </c>
      <c r="B1" t="s">
        <v>59</v>
      </c>
      <c r="C1" t="s">
        <v>60</v>
      </c>
      <c r="D1" t="s">
        <v>61</v>
      </c>
    </row>
    <row r="2" spans="1:4" x14ac:dyDescent="0.25">
      <c r="A2" t="s">
        <v>111</v>
      </c>
      <c r="B2" t="s">
        <v>37</v>
      </c>
      <c r="C2" t="s">
        <v>108</v>
      </c>
      <c r="D2" t="s">
        <v>15</v>
      </c>
    </row>
    <row r="3" spans="1:4" x14ac:dyDescent="0.25">
      <c r="A3" t="s">
        <v>112</v>
      </c>
      <c r="B3" t="s">
        <v>37</v>
      </c>
      <c r="C3" t="s">
        <v>110</v>
      </c>
      <c r="D3" t="s">
        <v>15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AC8035-AADD-424B-BBBB-6C6BF2928A67}">
  <sheetPr codeName="Sheet24"/>
  <dimension ref="A1:C1"/>
  <sheetViews>
    <sheetView workbookViewId="0">
      <selection activeCell="C9" sqref="C9"/>
    </sheetView>
  </sheetViews>
  <sheetFormatPr defaultRowHeight="15.75" x14ac:dyDescent="0.25"/>
  <sheetData>
    <row r="1" spans="1:3" x14ac:dyDescent="0.25">
      <c r="A1" t="s">
        <v>34</v>
      </c>
      <c r="B1" t="s">
        <v>99</v>
      </c>
      <c r="C1" t="s">
        <v>61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E1EA0-13D1-407F-BDC4-B6CD6BB8C57F}">
  <sheetPr codeName="Sheet21"/>
  <dimension ref="A1:E2"/>
  <sheetViews>
    <sheetView workbookViewId="0">
      <selection activeCell="C9" sqref="C9"/>
    </sheetView>
  </sheetViews>
  <sheetFormatPr defaultColWidth="22.625" defaultRowHeight="15.75" x14ac:dyDescent="0.25"/>
  <sheetData>
    <row r="1" spans="1:5" x14ac:dyDescent="0.25">
      <c r="A1" s="2" t="s">
        <v>34</v>
      </c>
      <c r="B1" t="s">
        <v>35</v>
      </c>
      <c r="C1" t="s">
        <v>57</v>
      </c>
      <c r="D1" t="s">
        <v>58</v>
      </c>
      <c r="E1" t="s">
        <v>36</v>
      </c>
    </row>
    <row r="2" spans="1:5" x14ac:dyDescent="0.25">
      <c r="A2" t="s">
        <v>3</v>
      </c>
      <c r="B2">
        <v>8760</v>
      </c>
      <c r="C2" t="s">
        <v>56</v>
      </c>
      <c r="D2" t="b">
        <v>0</v>
      </c>
      <c r="E2">
        <v>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C6132-329F-4CE9-9926-D197A5205AB2}">
  <sheetPr codeName="Sheet20"/>
  <dimension ref="A1:E2"/>
  <sheetViews>
    <sheetView workbookViewId="0">
      <selection activeCell="C9" sqref="C9"/>
    </sheetView>
  </sheetViews>
  <sheetFormatPr defaultColWidth="29" defaultRowHeight="15.75" x14ac:dyDescent="0.25"/>
  <sheetData>
    <row r="1" spans="1:5" x14ac:dyDescent="0.25">
      <c r="A1" t="s">
        <v>34</v>
      </c>
      <c r="B1" s="2" t="s">
        <v>48</v>
      </c>
      <c r="C1" t="s">
        <v>49</v>
      </c>
      <c r="D1" t="s">
        <v>50</v>
      </c>
      <c r="E1" t="s">
        <v>51</v>
      </c>
    </row>
    <row r="2" spans="1:5" x14ac:dyDescent="0.25">
      <c r="A2" t="s">
        <v>107</v>
      </c>
      <c r="B2" t="s">
        <v>37</v>
      </c>
      <c r="C2" t="s">
        <v>15</v>
      </c>
      <c r="D2" t="b">
        <v>0</v>
      </c>
      <c r="E2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26E14-C950-46C7-BE40-F1813A4E0D6F}">
  <sheetPr codeName="Sheet22"/>
  <dimension ref="A1:E1"/>
  <sheetViews>
    <sheetView workbookViewId="0">
      <selection activeCell="C9" sqref="C9"/>
    </sheetView>
  </sheetViews>
  <sheetFormatPr defaultColWidth="18.375" defaultRowHeight="15.75" x14ac:dyDescent="0.25"/>
  <sheetData>
    <row r="1" spans="1:5" x14ac:dyDescent="0.25">
      <c r="A1" t="s">
        <v>34</v>
      </c>
      <c r="B1" s="2" t="s">
        <v>48</v>
      </c>
      <c r="C1" t="s">
        <v>61</v>
      </c>
      <c r="D1" t="s">
        <v>62</v>
      </c>
      <c r="E1" t="s">
        <v>63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357056-B178-408C-8D26-22040BA0C101}">
  <sheetPr codeName="Sheet1"/>
  <dimension ref="A1:O4"/>
  <sheetViews>
    <sheetView workbookViewId="0"/>
  </sheetViews>
  <sheetFormatPr defaultRowHeight="15" x14ac:dyDescent="0.25"/>
  <cols>
    <col min="1" max="16384" width="9" style="3"/>
  </cols>
  <sheetData>
    <row r="1" spans="1:15" x14ac:dyDescent="0.25">
      <c r="A1" s="3" t="s">
        <v>0</v>
      </c>
      <c r="B1" s="3" t="s">
        <v>1</v>
      </c>
      <c r="C1" s="3" t="s">
        <v>2</v>
      </c>
      <c r="D1" s="3" t="s">
        <v>114</v>
      </c>
      <c r="E1" s="3" t="s">
        <v>115</v>
      </c>
      <c r="F1" s="3" t="s">
        <v>116</v>
      </c>
      <c r="G1" s="3" t="s">
        <v>117</v>
      </c>
      <c r="H1" s="3" t="s">
        <v>118</v>
      </c>
      <c r="I1" s="3" t="s">
        <v>119</v>
      </c>
      <c r="J1" s="3" t="s">
        <v>38</v>
      </c>
      <c r="K1" s="3" t="s">
        <v>39</v>
      </c>
      <c r="L1" s="3" t="s">
        <v>40</v>
      </c>
      <c r="M1" s="3" t="s">
        <v>41</v>
      </c>
      <c r="N1" s="3" t="s">
        <v>42</v>
      </c>
      <c r="O1" s="3" t="s">
        <v>43</v>
      </c>
    </row>
    <row r="2" spans="1:15" x14ac:dyDescent="0.25">
      <c r="A2" s="3" t="s">
        <v>3</v>
      </c>
      <c r="B2" s="3" t="s">
        <v>4</v>
      </c>
      <c r="C2" s="3">
        <v>0</v>
      </c>
      <c r="D2" s="3">
        <v>1000</v>
      </c>
      <c r="E2" s="3">
        <v>1000</v>
      </c>
      <c r="F2" s="3">
        <v>1000</v>
      </c>
      <c r="G2" s="3">
        <v>1000</v>
      </c>
      <c r="H2" s="3">
        <v>2000</v>
      </c>
      <c r="I2" s="3">
        <v>2000</v>
      </c>
      <c r="J2" s="3">
        <v>2000</v>
      </c>
      <c r="K2" s="3">
        <v>2000</v>
      </c>
      <c r="L2" s="3">
        <v>1000</v>
      </c>
      <c r="M2" s="3">
        <v>1000</v>
      </c>
      <c r="N2" s="3">
        <v>1000</v>
      </c>
      <c r="O2" s="3">
        <v>1000</v>
      </c>
    </row>
    <row r="3" spans="1:15" x14ac:dyDescent="0.25">
      <c r="A3" s="3" t="s">
        <v>3</v>
      </c>
      <c r="B3" s="3" t="s">
        <v>4</v>
      </c>
      <c r="C3" s="3">
        <v>336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</row>
    <row r="4" spans="1:15" x14ac:dyDescent="0.25">
      <c r="A4" s="3" t="s">
        <v>3</v>
      </c>
      <c r="B4" s="3" t="s">
        <v>4</v>
      </c>
      <c r="C4" s="3">
        <v>8760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</row>
  </sheetData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09125E-425F-4A6E-AF78-B5AA87383AD2}">
  <sheetPr codeName="Sheet2"/>
  <dimension ref="A1:J12"/>
  <sheetViews>
    <sheetView workbookViewId="0"/>
  </sheetViews>
  <sheetFormatPr defaultRowHeight="15" x14ac:dyDescent="0.25"/>
  <cols>
    <col min="1" max="16384" width="9" style="3"/>
  </cols>
  <sheetData>
    <row r="1" spans="1:10" x14ac:dyDescent="0.25">
      <c r="A1" s="3" t="s">
        <v>0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11</v>
      </c>
      <c r="I1" s="3" t="s">
        <v>12</v>
      </c>
      <c r="J1" s="3" t="s">
        <v>13</v>
      </c>
    </row>
    <row r="2" spans="1:10" x14ac:dyDescent="0.25">
      <c r="A2" s="3" t="s">
        <v>3</v>
      </c>
      <c r="B2" s="3">
        <v>1</v>
      </c>
      <c r="C2" s="3">
        <v>8760</v>
      </c>
      <c r="D2" s="3" t="s">
        <v>105</v>
      </c>
      <c r="E2" s="3" t="s">
        <v>14</v>
      </c>
      <c r="F2" s="3" t="s">
        <v>15</v>
      </c>
      <c r="G2" s="3">
        <v>1</v>
      </c>
      <c r="H2" s="3">
        <v>0</v>
      </c>
      <c r="I2" s="3">
        <v>0</v>
      </c>
      <c r="J2" s="4">
        <v>1209600000</v>
      </c>
    </row>
    <row r="3" spans="1:10" x14ac:dyDescent="0.25">
      <c r="A3" s="3" t="s">
        <v>3</v>
      </c>
      <c r="B3" s="3">
        <v>1</v>
      </c>
      <c r="C3" s="3">
        <v>8760</v>
      </c>
      <c r="D3" s="3" t="s">
        <v>109</v>
      </c>
      <c r="E3" s="3" t="s">
        <v>14</v>
      </c>
      <c r="F3" s="3" t="s">
        <v>15</v>
      </c>
      <c r="G3" s="3">
        <v>1</v>
      </c>
      <c r="H3" s="3">
        <v>0</v>
      </c>
      <c r="I3" s="3">
        <v>0</v>
      </c>
      <c r="J3" s="4">
        <v>1209600000</v>
      </c>
    </row>
    <row r="4" spans="1:10" x14ac:dyDescent="0.25">
      <c r="A4" s="3" t="s">
        <v>3</v>
      </c>
      <c r="B4" s="3">
        <v>1</v>
      </c>
      <c r="C4" s="3">
        <v>8760</v>
      </c>
      <c r="D4" s="3" t="s">
        <v>107</v>
      </c>
      <c r="E4" s="3" t="s">
        <v>16</v>
      </c>
      <c r="F4" s="3" t="s">
        <v>15</v>
      </c>
      <c r="G4" s="3">
        <v>1</v>
      </c>
      <c r="H4" s="3">
        <v>0</v>
      </c>
      <c r="I4" s="3">
        <v>0</v>
      </c>
      <c r="J4" s="4">
        <v>2419200000</v>
      </c>
    </row>
    <row r="5" spans="1:10" x14ac:dyDescent="0.25">
      <c r="A5" s="3" t="s">
        <v>3</v>
      </c>
      <c r="B5" s="3">
        <v>1</v>
      </c>
      <c r="C5" s="3">
        <v>8760</v>
      </c>
      <c r="D5" s="3" t="s">
        <v>44</v>
      </c>
      <c r="E5" s="3" t="s">
        <v>45</v>
      </c>
      <c r="F5" s="3" t="s">
        <v>15</v>
      </c>
      <c r="G5" s="3">
        <v>1</v>
      </c>
      <c r="H5" s="3">
        <v>0</v>
      </c>
      <c r="I5" s="3">
        <v>0</v>
      </c>
      <c r="J5" s="4">
        <v>2419200000</v>
      </c>
    </row>
    <row r="6" spans="1:10" x14ac:dyDescent="0.25">
      <c r="A6" s="3" t="s">
        <v>3</v>
      </c>
      <c r="B6" s="3">
        <v>1</v>
      </c>
      <c r="C6" s="3">
        <v>8760</v>
      </c>
      <c r="D6" s="3" t="s">
        <v>46</v>
      </c>
      <c r="E6" s="3" t="s">
        <v>45</v>
      </c>
      <c r="F6" s="3" t="s">
        <v>15</v>
      </c>
      <c r="G6" s="3">
        <v>1</v>
      </c>
      <c r="H6" s="3">
        <v>0</v>
      </c>
      <c r="I6" s="3">
        <v>0</v>
      </c>
      <c r="J6" s="4">
        <v>1209600000</v>
      </c>
    </row>
    <row r="7" spans="1:10" x14ac:dyDescent="0.25">
      <c r="A7" s="3" t="s">
        <v>3</v>
      </c>
      <c r="B7" s="3">
        <v>1</v>
      </c>
      <c r="C7" s="3">
        <v>8760</v>
      </c>
      <c r="D7" s="3" t="s">
        <v>47</v>
      </c>
      <c r="E7" s="3" t="s">
        <v>45</v>
      </c>
      <c r="F7" s="3" t="s">
        <v>15</v>
      </c>
      <c r="G7" s="3">
        <v>1</v>
      </c>
      <c r="H7" s="3">
        <v>0</v>
      </c>
      <c r="I7" s="3">
        <v>0</v>
      </c>
      <c r="J7" s="4">
        <v>1209600000</v>
      </c>
    </row>
    <row r="8" spans="1:10" x14ac:dyDescent="0.25">
      <c r="A8" s="3" t="s">
        <v>3</v>
      </c>
      <c r="B8" s="3">
        <v>1</v>
      </c>
      <c r="C8" s="3">
        <v>8760</v>
      </c>
      <c r="D8" s="3" t="s">
        <v>17</v>
      </c>
      <c r="J8" s="4">
        <v>2419200000</v>
      </c>
    </row>
    <row r="9" spans="1:10" x14ac:dyDescent="0.25">
      <c r="A9" s="3" t="s">
        <v>3</v>
      </c>
      <c r="B9" s="3">
        <v>1</v>
      </c>
      <c r="C9" s="3">
        <v>8760</v>
      </c>
      <c r="D9" s="3" t="s">
        <v>18</v>
      </c>
      <c r="J9" s="4">
        <v>2419200000</v>
      </c>
    </row>
    <row r="10" spans="1:10" x14ac:dyDescent="0.25">
      <c r="A10" s="3" t="s">
        <v>3</v>
      </c>
      <c r="B10" s="3">
        <v>1</v>
      </c>
      <c r="C10" s="3">
        <v>8760</v>
      </c>
      <c r="D10" s="3" t="s">
        <v>19</v>
      </c>
      <c r="J10" s="3">
        <v>0</v>
      </c>
    </row>
    <row r="11" spans="1:10" x14ac:dyDescent="0.25">
      <c r="A11" s="3" t="s">
        <v>3</v>
      </c>
      <c r="B11" s="3">
        <v>1</v>
      </c>
      <c r="C11" s="3">
        <v>8760</v>
      </c>
      <c r="D11" s="3" t="s">
        <v>20</v>
      </c>
      <c r="J11" s="3">
        <v>0</v>
      </c>
    </row>
    <row r="12" spans="1:10" x14ac:dyDescent="0.25">
      <c r="A12" s="3" t="s">
        <v>3</v>
      </c>
      <c r="B12" s="3">
        <v>1</v>
      </c>
      <c r="C12" s="3">
        <v>8760</v>
      </c>
      <c r="D12" s="3" t="s">
        <v>21</v>
      </c>
      <c r="E12" s="3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</vt:i4>
      </vt:variant>
    </vt:vector>
  </HeadingPairs>
  <TitlesOfParts>
    <vt:vector size="26" baseType="lpstr">
      <vt:lpstr>Instructions</vt:lpstr>
      <vt:lpstr>Settings</vt:lpstr>
      <vt:lpstr>Components</vt:lpstr>
      <vt:lpstr>Network</vt:lpstr>
      <vt:lpstr>Scenarios</vt:lpstr>
      <vt:lpstr>menus</vt:lpstr>
      <vt:lpstr>component-failure-mode</vt:lpstr>
      <vt:lpstr>component-fragility</vt:lpstr>
      <vt:lpstr>converter-component</vt:lpstr>
      <vt:lpstr>damage-intensity</vt:lpstr>
      <vt:lpstr>dual-outflow-converter-comp</vt:lpstr>
      <vt:lpstr>failure-mode</vt:lpstr>
      <vt:lpstr>fixed-cdf</vt:lpstr>
      <vt:lpstr>fragility-curve</vt:lpstr>
      <vt:lpstr>general</vt:lpstr>
      <vt:lpstr>load-component</vt:lpstr>
      <vt:lpstr>load-profile</vt:lpstr>
      <vt:lpstr>muxer-component</vt:lpstr>
      <vt:lpstr>network-link</vt:lpstr>
      <vt:lpstr>pass-through-component</vt:lpstr>
      <vt:lpstr>scenario</vt:lpstr>
      <vt:lpstr>source-component</vt:lpstr>
      <vt:lpstr>storage-component</vt:lpstr>
      <vt:lpstr>out</vt:lpstr>
      <vt:lpstr>stats</vt:lpstr>
      <vt:lpstr>exe_path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Matthew Larson</cp:lastModifiedBy>
  <dcterms:created xsi:type="dcterms:W3CDTF">2020-06-24T15:27:13Z</dcterms:created>
  <dcterms:modified xsi:type="dcterms:W3CDTF">2020-07-27T22:09:16Z</dcterms:modified>
</cp:coreProperties>
</file>