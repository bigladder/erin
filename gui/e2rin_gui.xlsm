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Projects\e2rin\gui\"/>
    </mc:Choice>
  </mc:AlternateContent>
  <xr:revisionPtr revIDLastSave="0" documentId="13_ncr:1_{28E8CBD2-9AF4-4A1B-A1AC-915BC1DDC98F}" xr6:coauthVersionLast="45" xr6:coauthVersionMax="45" xr10:uidLastSave="{00000000-0000-0000-0000-000000000000}"/>
  <bookViews>
    <workbookView xWindow="-120" yWindow="-120" windowWidth="25440" windowHeight="14475" xr2:uid="{C0CE6CFC-F4A7-E448-BB50-AAF297BA234B}"/>
  </bookViews>
  <sheets>
    <sheet name="Inputs" sheetId="1" r:id="rId1"/>
    <sheet name="general" sheetId="129" r:id="rId2"/>
    <sheet name="load-profile" sheetId="130" r:id="rId3"/>
    <sheet name="scenario" sheetId="131" r:id="rId4"/>
    <sheet name="building-level" sheetId="132" r:id="rId5"/>
    <sheet name="cluster-level" sheetId="133" r:id="rId6"/>
    <sheet name="community-level" sheetId="134" r:id="rId7"/>
    <sheet name="pull-down-lists" sheetId="135" r:id="rId8"/>
    <sheet name="out" sheetId="342" r:id="rId9"/>
    <sheet name="stats" sheetId="343" r:id="rId10"/>
  </sheets>
  <functionGroups builtInGroupCount="19"/>
  <definedNames>
    <definedName name="building_level_building_id">'building-level'!$A$2:$A$3</definedName>
    <definedName name="building_level_echiller_eff_pct">'building-level'!$L$2:$L$3</definedName>
    <definedName name="building_level_echiller_flag">'building-level'!$J$2:$J$3</definedName>
    <definedName name="building_level_echiller_peak_cooling_kW">'building-level'!$K$2:$K$3</definedName>
    <definedName name="building_level_egen_eff_pct">'building-level'!$C$2:$C$3</definedName>
    <definedName name="building_level_egen_flag">'building-level'!$B$2:$B$3</definedName>
    <definedName name="building_level_egen_peak_pwr_kW">'building-level'!$D$2:$D$3</definedName>
    <definedName name="building_level_gas_boiler_eff_pct">'building-level'!$H$2:$H$3</definedName>
    <definedName name="building_level_gas_boiler_flag">'building-level'!$G$2:$G$3</definedName>
    <definedName name="building_level_gas_boiler_peak_heat_gen_kW">'building-level'!$I$2:$I$3</definedName>
    <definedName name="building_level_heat_storage_cap_kWh">'building-level'!$F$2:$F$3</definedName>
    <definedName name="building_level_heat_storage_flag">'building-level'!$E$2:$E$3</definedName>
    <definedName name="command_line">Inputs!#REF!</definedName>
    <definedName name="exe_path">Inputs!$B$1</definedName>
    <definedName name="input_file_path">Inputs!$B$2</definedName>
    <definedName name="load_profile_building_id">'load-profile'!$A$2:$A$13</definedName>
    <definedName name="load_profile_enduse">#REF!</definedName>
    <definedName name="load_profile_file">#REF!</definedName>
    <definedName name="load_profile_scenario_id">'load-profile'!$B$2:$B$13</definedName>
    <definedName name="output_file_path">Inputs!$B$3</definedName>
    <definedName name="random_seed">general!$B$4</definedName>
    <definedName name="random_setting">general!$B$3</definedName>
    <definedName name="scenario_duration_in_hours">scenario!$B$2:$B$3</definedName>
    <definedName name="scenario_fixed_frequency_in_years">scenario!$D$2:$D$3</definedName>
    <definedName name="scenario_id">scenario!$A$2:$A$3</definedName>
    <definedName name="scenario_max_occurrence">scenario!$C$2:$C$3</definedName>
    <definedName name="simulation_dur_years">general!$B$2</definedName>
    <definedName name="simulation_duration_in_years">#REF!</definedName>
    <definedName name="stats_file_path">Inputs!$B$4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31" l="1"/>
</calcChain>
</file>

<file path=xl/sharedStrings.xml><?xml version="1.0" encoding="utf-8"?>
<sst xmlns="http://schemas.openxmlformats.org/spreadsheetml/2006/main" count="136" uniqueCount="86">
  <si>
    <t>input_file_path</t>
  </si>
  <si>
    <t>output_file_path</t>
  </si>
  <si>
    <t>stats_file_path</t>
  </si>
  <si>
    <t>scenario id</t>
  </si>
  <si>
    <t>scenario start time (P[YYYY]-[MM]-[DD]T[hh]:[mm]:[ss])</t>
  </si>
  <si>
    <t>elapsed (hours)</t>
  </si>
  <si>
    <t>cluster_01_electric:achieved (kW)</t>
  </si>
  <si>
    <t>cluster_01_electric:requested (kW)</t>
  </si>
  <si>
    <t>electric_utility:achieved (kW)</t>
  </si>
  <si>
    <t>electric_utility:requested (kW)</t>
  </si>
  <si>
    <t>blue_sky</t>
  </si>
  <si>
    <t>P0000-00-00T00:00:00</t>
  </si>
  <si>
    <t>number of occurrences</t>
  </si>
  <si>
    <t>total time in scenario (hours)</t>
  </si>
  <si>
    <t>component id</t>
  </si>
  <si>
    <t>type</t>
  </si>
  <si>
    <t>stream</t>
  </si>
  <si>
    <t>energy availability</t>
  </si>
  <si>
    <t>max downtime (hours)</t>
  </si>
  <si>
    <t>load not served (kJ)</t>
  </si>
  <si>
    <t>electricity energy used (kJ)</t>
  </si>
  <si>
    <t>cluster_01_electric</t>
  </si>
  <si>
    <t>load</t>
  </si>
  <si>
    <t>electricity</t>
  </si>
  <si>
    <t>electric_utility</t>
  </si>
  <si>
    <t>source</t>
  </si>
  <si>
    <t>TOTAL (source)</t>
  </si>
  <si>
    <t>TOTAL (load)</t>
  </si>
  <si>
    <t>TOTAL (storage)</t>
  </si>
  <si>
    <t>TOTAL (waste)</t>
  </si>
  <si>
    <t>ENERGY BALANCE (source-(load+storage+waste))</t>
  </si>
  <si>
    <t>C:\My Projects\e2rin\gui\in.toml</t>
  </si>
  <si>
    <t>C:\My Projects\e2rin\gui\out.csv</t>
  </si>
  <si>
    <t>C:\My Projects\e2rin\gui\stats.csv</t>
  </si>
  <si>
    <t>C:\My Projects\e2rin\build\bin\Release\e2rin_multi.exe</t>
  </si>
  <si>
    <t>exe_path</t>
  </si>
  <si>
    <t>Building ID</t>
  </si>
  <si>
    <t>Scenario ID</t>
  </si>
  <si>
    <t>End Use ID</t>
  </si>
  <si>
    <t>Load Profile File (CSV)</t>
  </si>
  <si>
    <t>mc</t>
  </si>
  <si>
    <t>electrical</t>
  </si>
  <si>
    <t>mc-electrical-blue-sky.csv</t>
  </si>
  <si>
    <t>class_4_hurricane</t>
  </si>
  <si>
    <t>mc-electrical-class-4-hurricane.csv</t>
  </si>
  <si>
    <t>heating</t>
  </si>
  <si>
    <t>mc-heating-blue-sky.csv</t>
  </si>
  <si>
    <t>mc-heating-class-4-hurricane.csv</t>
  </si>
  <si>
    <t>cooling</t>
  </si>
  <si>
    <t>mc-cooling-blue-sky.csv</t>
  </si>
  <si>
    <t>mc-cooling-class-4-hurricane.csv</t>
  </si>
  <si>
    <t>other</t>
  </si>
  <si>
    <t>other-electrical-blue-sky.csv</t>
  </si>
  <si>
    <t>other-electrical-class-4-hurricane.csv</t>
  </si>
  <si>
    <t>other-heating-blue-sky.csv</t>
  </si>
  <si>
    <t>other-heating-class-4-hurricane.csv</t>
  </si>
  <si>
    <t>other-cooling-blue-sky.csv</t>
  </si>
  <si>
    <t>other-cooling-class-4-hurricane.csv</t>
  </si>
  <si>
    <t>Boolean</t>
  </si>
  <si>
    <t>Random Setting</t>
  </si>
  <si>
    <t>Auto</t>
  </si>
  <si>
    <t>Seed</t>
  </si>
  <si>
    <t>End Uses</t>
  </si>
  <si>
    <t>dhw</t>
  </si>
  <si>
    <t>Parameter</t>
  </si>
  <si>
    <t>Value</t>
  </si>
  <si>
    <t>Notes</t>
  </si>
  <si>
    <t>simulation_duration_in_years</t>
  </si>
  <si>
    <t>random setting</t>
  </si>
  <si>
    <t>random seed</t>
  </si>
  <si>
    <t>setting the random seed allows multiple runs of the tool to return the same results</t>
  </si>
  <si>
    <t>Scenario Duration (Hours)</t>
  </si>
  <si>
    <t>Max Occurrence</t>
  </si>
  <si>
    <t>Occurrence Distribution Fixed Frequency (Years)</t>
  </si>
  <si>
    <t>Build ID</t>
  </si>
  <si>
    <t>Has Emergency Generator?</t>
  </si>
  <si>
    <t>Emergency Generator Efficiency</t>
  </si>
  <si>
    <t>Emergency Generator Peak Power</t>
  </si>
  <si>
    <t>Has Heat Storage?</t>
  </si>
  <si>
    <t>Heat Storage Capacity</t>
  </si>
  <si>
    <t>Has Gas Boiler?</t>
  </si>
  <si>
    <t>Gas Boiler Efficiency</t>
  </si>
  <si>
    <t>Gas Boiler Peak Heat Generation</t>
  </si>
  <si>
    <t>Has Electric Chiller?</t>
  </si>
  <si>
    <t>Electric Chiller Peak Cooling</t>
  </si>
  <si>
    <t>Electric Chiller Efficiency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</si>
</sst>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Calibri"/>
    </font>
    <font>
      <b/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3" fillId="0" borderId="0"/>
    <xf numFmtId="0" fontId="6" fillId="2" borderId="1" applyNumberFormat="0" applyAlignment="0" applyProtection="0"/>
    <xf numFmtId="0" fontId="2" fillId="0" borderId="0"/>
    <xf numFmtId="0" fontId="1" fillId="0" borderId="0"/>
  </cellStyleXfs>
  <cellXfs count="5">
    <xf numFmtId="0" fontId="0" fillId="0" borderId="0" xfId="0"/>
    <xf numFmtId="0" fontId="5" fillId="0" borderId="0" xfId="0" applyFont="1"/>
    <xf numFmtId="0" fontId="6" fillId="2" borderId="1" xfId="2"/>
    <xf numFmtId="9" fontId="6" fillId="2" borderId="1" xfId="2" applyNumberFormat="1"/>
    <xf numFmtId="0" fontId="1" fillId="0" borderId="0" xfId="4"/>
  </cellXfs>
  <cellStyles count="5">
    <cellStyle name="Input 2" xfId="2" xr:uid="{C09289F3-8D70-4E11-80C2-A38AE4B4C572}"/>
    <cellStyle name="Normal" xfId="0" builtinId="0"/>
    <cellStyle name="Normal 2" xfId="1" xr:uid="{4D922DCD-CD86-46C0-9F90-DC1F6A447F1A}"/>
    <cellStyle name="Normal 3" xfId="3" xr:uid="{9397C161-F4FB-45F1-BBC9-5C04567F1989}"/>
    <cellStyle name="Normal 4" xfId="4" xr:uid="{4A5641CE-048A-4A97-B45E-4B2A88E758B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336550</xdr:colOff>
      <xdr:row>6</xdr:row>
      <xdr:rowOff>161925</xdr:rowOff>
    </xdr:from>
    <xdr:to>
      <xdr:col>2</xdr:col>
      <xdr:colOff>514350</xdr:colOff>
      <xdr:row>16</xdr:row>
      <xdr:rowOff>136525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336550" y="1362075"/>
          <a:ext cx="2149475" cy="1974850"/>
          <a:chOff x="3505200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706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3505200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288" tIns="0" rIns="0" bIns="0" anchor="b" upright="1"/>
              <a:lstStyle/>
              <a:p>
                <a:pPr algn="ctr" rtl="0">
                  <a:defRPr sz="1000"/>
                </a:pPr>
                <a:endParaRPr lang="en-US"/>
              </a:p>
            </xdr:txBody>
          </xdr:sp>
        </mc:Choice>
        <mc:Fallback/>
      </mc:AlternateContent>
      <xdr:sp macro="[0]!_xludf.Run" textlink="">
        <xdr:nvSpPr>
          <xdr:cNvPr id="4" name="Arrow: Pentagon 76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3648075" y="200025"/>
            <a:ext cx="182880" cy="182880"/>
          </a:xfrm>
          <a:prstGeom prst="homePlate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000"/>
          </a:p>
        </xdr:txBody>
      </xdr:sp>
    </xdr:grpSp>
    <xdr:clientData/>
  </xdr:twoCellAnchor>
  <xdr:twoCellAnchor editAs="oneCell">
    <xdr:from>
      <xdr:col>0</xdr:col>
      <xdr:colOff>0</xdr:colOff>
      <xdr:row>18</xdr:row>
      <xdr:rowOff>190500</xdr:rowOff>
    </xdr:from>
    <xdr:to>
      <xdr:col>8</xdr:col>
      <xdr:colOff>266700</xdr:colOff>
      <xdr:row>30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48100"/>
          <a:ext cx="7175500" cy="2349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1168399</xdr:colOff>
      <xdr:row>14</xdr:row>
      <xdr:rowOff>76200</xdr:rowOff>
    </xdr:from>
    <xdr:to>
      <xdr:col>10</xdr:col>
      <xdr:colOff>1574800</xdr:colOff>
      <xdr:row>37</xdr:row>
      <xdr:rowOff>127000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6287" t="61907" r="1716" b="304"/>
        <a:stretch/>
      </xdr:blipFill>
      <xdr:spPr>
        <a:xfrm>
          <a:off x="11741149" y="3076575"/>
          <a:ext cx="5292726" cy="4651375"/>
        </a:xfrm>
        <a:prstGeom prst="rect">
          <a:avLst/>
        </a:prstGeom>
        <a:solidFill>
          <a:schemeClr val="bg1"/>
        </a:solidFill>
        <a:ln w="50800">
          <a:solidFill>
            <a:schemeClr val="tx1"/>
          </a:solidFill>
        </a:ln>
      </xdr:spPr>
    </xdr:pic>
    <xdr:clientData/>
  </xdr:twoCellAnchor>
  <xdr:twoCellAnchor editAs="oneCell">
    <xdr:from>
      <xdr:col>5</xdr:col>
      <xdr:colOff>361950</xdr:colOff>
      <xdr:row>0</xdr:row>
      <xdr:rowOff>0</xdr:rowOff>
    </xdr:from>
    <xdr:to>
      <xdr:col>11</xdr:col>
      <xdr:colOff>104775</xdr:colOff>
      <xdr:row>33</xdr:row>
      <xdr:rowOff>28575</xdr:rowOff>
    </xdr:to>
    <xdr:sp macro="" textlink="">
      <xdr:nvSpPr>
        <xdr:cNvPr id="3" name="AutoShape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382000" y="0"/>
          <a:ext cx="9010650" cy="6629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CAF2B-0E01-014B-9ADB-F0B2CEB3BF18}">
  <sheetPr codeName="Sheet1"/>
  <dimension ref="A1:B4"/>
  <sheetViews>
    <sheetView tabSelected="1" workbookViewId="0">
      <selection activeCell="E14" sqref="E14"/>
    </sheetView>
  </sheetViews>
  <sheetFormatPr defaultColWidth="11" defaultRowHeight="15.75" x14ac:dyDescent="0.25"/>
  <cols>
    <col min="1" max="1" width="14.875" bestFit="1" customWidth="1"/>
  </cols>
  <sheetData>
    <row r="1" spans="1:2" x14ac:dyDescent="0.25">
      <c r="A1" t="s">
        <v>35</v>
      </c>
      <c r="B1" t="s">
        <v>34</v>
      </c>
    </row>
    <row r="2" spans="1:2" x14ac:dyDescent="0.25">
      <c r="A2" t="s">
        <v>0</v>
      </c>
      <c r="B2" t="s">
        <v>31</v>
      </c>
    </row>
    <row r="3" spans="1:2" x14ac:dyDescent="0.25">
      <c r="A3" t="s">
        <v>1</v>
      </c>
      <c r="B3" t="s">
        <v>32</v>
      </c>
    </row>
    <row r="4" spans="1:2" x14ac:dyDescent="0.25">
      <c r="A4" t="s">
        <v>2</v>
      </c>
      <c r="B4" t="s">
        <v>33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706">
              <controlPr defaultSize="0" autoFill="0" autoPict="0" macro="[0]!_xludf.Run">
                <anchor>
                  <from>
                    <xdr:col>0</xdr:col>
                    <xdr:colOff>333375</xdr:colOff>
                    <xdr:row>6</xdr:row>
                    <xdr:rowOff>161925</xdr:rowOff>
                  </from>
                  <to>
                    <xdr:col>2</xdr:col>
                    <xdr:colOff>514350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B58E1-4C16-4355-8923-FFC0A5B35F34}">
  <sheetPr codeName="Sheet2"/>
  <dimension ref="A1:C4"/>
  <sheetViews>
    <sheetView workbookViewId="0">
      <selection activeCell="B6" sqref="B6"/>
    </sheetView>
  </sheetViews>
  <sheetFormatPr defaultColWidth="11" defaultRowHeight="15.75" x14ac:dyDescent="0.25"/>
  <cols>
    <col min="1" max="1" width="25.875" bestFit="1" customWidth="1"/>
  </cols>
  <sheetData>
    <row r="1" spans="1:3" x14ac:dyDescent="0.25">
      <c r="A1" s="1" t="s">
        <v>64</v>
      </c>
      <c r="B1" s="1" t="s">
        <v>65</v>
      </c>
      <c r="C1" s="1" t="s">
        <v>66</v>
      </c>
    </row>
    <row r="2" spans="1:3" x14ac:dyDescent="0.25">
      <c r="A2" t="s">
        <v>67</v>
      </c>
      <c r="B2" s="2">
        <v>100</v>
      </c>
    </row>
    <row r="3" spans="1:3" x14ac:dyDescent="0.25">
      <c r="A3" t="s">
        <v>68</v>
      </c>
      <c r="B3" s="2" t="s">
        <v>61</v>
      </c>
    </row>
    <row r="4" spans="1:3" x14ac:dyDescent="0.25">
      <c r="A4" t="s">
        <v>69</v>
      </c>
      <c r="B4" s="2">
        <v>17</v>
      </c>
      <c r="C4" t="s">
        <v>70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C61C1BB-6C1A-4BCB-A497-E5BAC9EABF61}">
          <x14:formula1>
            <xm:f>'pull-down-lists'!$A$6:$A$7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016B2-EF0C-4251-9C4A-43F8F7C94A44}">
  <sheetPr codeName="Sheet3"/>
  <dimension ref="A1:D13"/>
  <sheetViews>
    <sheetView workbookViewId="0">
      <selection activeCell="A7" sqref="A7"/>
    </sheetView>
  </sheetViews>
  <sheetFormatPr defaultColWidth="11" defaultRowHeight="15.75" x14ac:dyDescent="0.25"/>
  <cols>
    <col min="1" max="1" width="10.125" bestFit="1" customWidth="1"/>
    <col min="2" max="2" width="15.875" bestFit="1" customWidth="1"/>
    <col min="3" max="3" width="10.125" bestFit="1" customWidth="1"/>
    <col min="4" max="4" width="32" bestFit="1" customWidth="1"/>
  </cols>
  <sheetData>
    <row r="1" spans="1:4" x14ac:dyDescent="0.25">
      <c r="A1" s="1" t="s">
        <v>36</v>
      </c>
      <c r="B1" s="1" t="s">
        <v>37</v>
      </c>
      <c r="C1" s="1" t="s">
        <v>38</v>
      </c>
      <c r="D1" s="1" t="s">
        <v>39</v>
      </c>
    </row>
    <row r="2" spans="1:4" x14ac:dyDescent="0.25">
      <c r="A2" s="2" t="s">
        <v>40</v>
      </c>
      <c r="B2" s="2" t="s">
        <v>10</v>
      </c>
      <c r="C2" s="2" t="s">
        <v>41</v>
      </c>
      <c r="D2" s="2" t="s">
        <v>42</v>
      </c>
    </row>
    <row r="3" spans="1:4" x14ac:dyDescent="0.25">
      <c r="A3" s="2" t="s">
        <v>40</v>
      </c>
      <c r="B3" s="2" t="s">
        <v>43</v>
      </c>
      <c r="C3" s="2" t="s">
        <v>41</v>
      </c>
      <c r="D3" s="2" t="s">
        <v>44</v>
      </c>
    </row>
    <row r="4" spans="1:4" x14ac:dyDescent="0.25">
      <c r="A4" s="2" t="s">
        <v>40</v>
      </c>
      <c r="B4" s="2" t="s">
        <v>10</v>
      </c>
      <c r="C4" s="2" t="s">
        <v>45</v>
      </c>
      <c r="D4" s="2" t="s">
        <v>46</v>
      </c>
    </row>
    <row r="5" spans="1:4" x14ac:dyDescent="0.25">
      <c r="A5" s="2" t="s">
        <v>40</v>
      </c>
      <c r="B5" s="2" t="s">
        <v>43</v>
      </c>
      <c r="C5" s="2" t="s">
        <v>45</v>
      </c>
      <c r="D5" s="2" t="s">
        <v>47</v>
      </c>
    </row>
    <row r="6" spans="1:4" x14ac:dyDescent="0.25">
      <c r="A6" s="2" t="s">
        <v>40</v>
      </c>
      <c r="B6" s="2" t="s">
        <v>10</v>
      </c>
      <c r="C6" s="2" t="s">
        <v>48</v>
      </c>
      <c r="D6" s="2" t="s">
        <v>49</v>
      </c>
    </row>
    <row r="7" spans="1:4" x14ac:dyDescent="0.25">
      <c r="A7" s="2" t="s">
        <v>40</v>
      </c>
      <c r="B7" s="2" t="s">
        <v>43</v>
      </c>
      <c r="C7" s="2" t="s">
        <v>48</v>
      </c>
      <c r="D7" s="2" t="s">
        <v>50</v>
      </c>
    </row>
    <row r="8" spans="1:4" x14ac:dyDescent="0.25">
      <c r="A8" s="2" t="s">
        <v>51</v>
      </c>
      <c r="B8" s="2" t="s">
        <v>10</v>
      </c>
      <c r="C8" s="2" t="s">
        <v>41</v>
      </c>
      <c r="D8" s="2" t="s">
        <v>52</v>
      </c>
    </row>
    <row r="9" spans="1:4" x14ac:dyDescent="0.25">
      <c r="A9" s="2" t="s">
        <v>51</v>
      </c>
      <c r="B9" s="2" t="s">
        <v>43</v>
      </c>
      <c r="C9" s="2" t="s">
        <v>41</v>
      </c>
      <c r="D9" s="2" t="s">
        <v>53</v>
      </c>
    </row>
    <row r="10" spans="1:4" x14ac:dyDescent="0.25">
      <c r="A10" s="2" t="s">
        <v>51</v>
      </c>
      <c r="B10" s="2" t="s">
        <v>10</v>
      </c>
      <c r="C10" s="2" t="s">
        <v>45</v>
      </c>
      <c r="D10" s="2" t="s">
        <v>54</v>
      </c>
    </row>
    <row r="11" spans="1:4" x14ac:dyDescent="0.25">
      <c r="A11" s="2" t="s">
        <v>51</v>
      </c>
      <c r="B11" s="2" t="s">
        <v>43</v>
      </c>
      <c r="C11" s="2" t="s">
        <v>45</v>
      </c>
      <c r="D11" s="2" t="s">
        <v>55</v>
      </c>
    </row>
    <row r="12" spans="1:4" x14ac:dyDescent="0.25">
      <c r="A12" s="2" t="s">
        <v>51</v>
      </c>
      <c r="B12" s="2" t="s">
        <v>10</v>
      </c>
      <c r="C12" s="2" t="s">
        <v>48</v>
      </c>
      <c r="D12" s="2" t="s">
        <v>56</v>
      </c>
    </row>
    <row r="13" spans="1:4" x14ac:dyDescent="0.25">
      <c r="A13" s="2" t="s">
        <v>51</v>
      </c>
      <c r="B13" s="2" t="s">
        <v>43</v>
      </c>
      <c r="C13" s="2" t="s">
        <v>48</v>
      </c>
      <c r="D13" s="2" t="s">
        <v>57</v>
      </c>
    </row>
  </sheetData>
  <pageMargins left="0.7" right="0.7" top="0.75" bottom="0.75" header="0.3" footer="0.3"/>
  <pageSetup paperSize="0" orientation="portrait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41D9551-E453-4FDF-BCEE-D5E457091D4E}">
          <x14:formula1>
            <xm:f>'pull-down-lists'!$A$10:$A$13</xm:f>
          </x14:formula1>
          <xm:sqref>C2:C13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6450-C551-4CC4-8CD0-3DAE3770B6BA}">
  <sheetPr codeName="Sheet4"/>
  <dimension ref="A1:E3"/>
  <sheetViews>
    <sheetView workbookViewId="0">
      <selection activeCell="C11" sqref="C11"/>
    </sheetView>
  </sheetViews>
  <sheetFormatPr defaultColWidth="11" defaultRowHeight="15.75" x14ac:dyDescent="0.25"/>
  <cols>
    <col min="1" max="1" width="15.875" bestFit="1" customWidth="1"/>
    <col min="2" max="2" width="22.5" bestFit="1" customWidth="1"/>
    <col min="3" max="3" width="15.125" bestFit="1" customWidth="1"/>
    <col min="4" max="4" width="41.625" bestFit="1" customWidth="1"/>
    <col min="5" max="5" width="22.875" bestFit="1" customWidth="1"/>
  </cols>
  <sheetData>
    <row r="1" spans="1:5" x14ac:dyDescent="0.25">
      <c r="A1" s="1" t="s">
        <v>37</v>
      </c>
      <c r="B1" s="1" t="s">
        <v>71</v>
      </c>
      <c r="C1" s="1" t="s">
        <v>72</v>
      </c>
      <c r="D1" s="1" t="s">
        <v>73</v>
      </c>
      <c r="E1" s="1"/>
    </row>
    <row r="2" spans="1:5" x14ac:dyDescent="0.25">
      <c r="A2" s="2" t="s">
        <v>10</v>
      </c>
      <c r="B2" s="2">
        <v>8760</v>
      </c>
      <c r="C2" s="2">
        <v>1</v>
      </c>
      <c r="D2" s="2">
        <v>0</v>
      </c>
    </row>
    <row r="3" spans="1:5" x14ac:dyDescent="0.25">
      <c r="A3" s="2" t="s">
        <v>43</v>
      </c>
      <c r="B3" s="2">
        <f>24*14</f>
        <v>336</v>
      </c>
      <c r="C3" s="2">
        <v>-1</v>
      </c>
      <c r="D3" s="2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1AC0D-FD7D-43B1-BEF4-DACE80036AD8}">
  <sheetPr codeName="Sheet5"/>
  <dimension ref="A1:L3"/>
  <sheetViews>
    <sheetView workbookViewId="0">
      <selection activeCell="B9" sqref="B9"/>
    </sheetView>
  </sheetViews>
  <sheetFormatPr defaultColWidth="11" defaultRowHeight="15.75" x14ac:dyDescent="0.25"/>
  <cols>
    <col min="1" max="1" width="7.5" bestFit="1" customWidth="1"/>
    <col min="2" max="2" width="23.875" bestFit="1" customWidth="1"/>
    <col min="3" max="3" width="27.875" bestFit="1" customWidth="1"/>
    <col min="4" max="4" width="29.5" bestFit="1" customWidth="1"/>
    <col min="5" max="5" width="16.5" bestFit="1" customWidth="1"/>
    <col min="6" max="6" width="19.375" bestFit="1" customWidth="1"/>
    <col min="7" max="7" width="14.125" bestFit="1" customWidth="1"/>
    <col min="8" max="8" width="18.125" bestFit="1" customWidth="1"/>
    <col min="9" max="9" width="28.5" bestFit="1" customWidth="1"/>
    <col min="10" max="10" width="17.5" bestFit="1" customWidth="1"/>
    <col min="11" max="11" width="24" bestFit="1" customWidth="1"/>
    <col min="12" max="12" width="21.5" bestFit="1" customWidth="1"/>
    <col min="13" max="13" width="27.5" bestFit="1" customWidth="1"/>
    <col min="14" max="14" width="17.125" bestFit="1" customWidth="1"/>
    <col min="15" max="15" width="23.625" bestFit="1" customWidth="1"/>
    <col min="16" max="16" width="21.125" bestFit="1" customWidth="1"/>
  </cols>
  <sheetData>
    <row r="1" spans="1:12" x14ac:dyDescent="0.25">
      <c r="A1" t="s">
        <v>74</v>
      </c>
      <c r="B1" t="s">
        <v>75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84</v>
      </c>
      <c r="L1" t="s">
        <v>85</v>
      </c>
    </row>
    <row r="2" spans="1:12" x14ac:dyDescent="0.25">
      <c r="A2" t="s">
        <v>40</v>
      </c>
      <c r="B2" s="2" t="b">
        <v>0</v>
      </c>
      <c r="C2" s="2">
        <v>38</v>
      </c>
      <c r="D2" s="2">
        <v>100</v>
      </c>
      <c r="E2" s="2" t="b">
        <v>0</v>
      </c>
      <c r="F2" s="2">
        <v>0</v>
      </c>
      <c r="G2" s="2" t="b">
        <v>0</v>
      </c>
      <c r="H2" s="2">
        <v>42</v>
      </c>
      <c r="I2" s="2">
        <v>25</v>
      </c>
      <c r="J2" s="2" t="b">
        <v>0</v>
      </c>
      <c r="K2" s="2">
        <v>50</v>
      </c>
      <c r="L2" s="3">
        <v>5.4</v>
      </c>
    </row>
    <row r="3" spans="1:12" x14ac:dyDescent="0.25">
      <c r="A3" t="s">
        <v>51</v>
      </c>
      <c r="B3" s="2" t="b">
        <v>0</v>
      </c>
      <c r="C3" s="2">
        <v>38</v>
      </c>
      <c r="D3" s="2">
        <v>100</v>
      </c>
      <c r="E3" s="2" t="b">
        <v>0</v>
      </c>
      <c r="F3" s="2">
        <v>0</v>
      </c>
      <c r="G3" s="2" t="b">
        <v>0</v>
      </c>
      <c r="H3" s="2">
        <v>42</v>
      </c>
      <c r="I3" s="2">
        <v>25</v>
      </c>
      <c r="J3" s="2" t="b">
        <v>0</v>
      </c>
      <c r="K3" s="2">
        <v>50</v>
      </c>
      <c r="L3" s="3">
        <v>5.4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978C95-38BA-4E40-A79A-72A90C0BD11D}">
          <x14:formula1>
            <xm:f>'pull-down-lists'!$A$2:$A$3</xm:f>
          </x14:formula1>
          <xm:sqref>B2:B3 E2:E3 G2:G3 J2:J3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A453B-18F5-4200-B0FF-47931491BB92}">
  <sheetPr codeName="Sheet6"/>
  <dimension ref="A1"/>
  <sheetViews>
    <sheetView workbookViewId="0">
      <selection activeCell="I30" sqref="I30"/>
    </sheetView>
  </sheetViews>
  <sheetFormatPr defaultColWidth="11" defaultRowHeight="15.75" x14ac:dyDescent="0.25"/>
  <cols>
    <col min="2" max="2" width="17.125" bestFit="1" customWidth="1"/>
    <col min="3" max="3" width="13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6E8B8-7051-4126-8FB9-84361D5E7E06}">
  <sheetPr codeName="Sheet7"/>
  <dimension ref="A1"/>
  <sheetViews>
    <sheetView workbookViewId="0">
      <selection activeCell="I30" sqref="I30"/>
    </sheetView>
  </sheetViews>
  <sheetFormatPr defaultColWidth="11" defaultRowHeight="15.7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239D6-B297-4658-A9B5-F88E376C7A35}">
  <sheetPr codeName="Sheet8"/>
  <dimension ref="A1:A13"/>
  <sheetViews>
    <sheetView workbookViewId="0">
      <selection activeCell="I30" sqref="I30"/>
    </sheetView>
  </sheetViews>
  <sheetFormatPr defaultColWidth="11" defaultRowHeight="15.75" x14ac:dyDescent="0.25"/>
  <cols>
    <col min="1" max="1" width="14.375" bestFit="1" customWidth="1"/>
  </cols>
  <sheetData>
    <row r="1" spans="1:1" x14ac:dyDescent="0.25">
      <c r="A1" s="1" t="s">
        <v>58</v>
      </c>
    </row>
    <row r="2" spans="1:1" x14ac:dyDescent="0.25">
      <c r="A2" t="b">
        <v>1</v>
      </c>
    </row>
    <row r="3" spans="1:1" x14ac:dyDescent="0.25">
      <c r="A3" t="b">
        <v>0</v>
      </c>
    </row>
    <row r="5" spans="1:1" x14ac:dyDescent="0.25">
      <c r="A5" s="1" t="s">
        <v>59</v>
      </c>
    </row>
    <row r="6" spans="1:1" x14ac:dyDescent="0.25">
      <c r="A6" t="s">
        <v>60</v>
      </c>
    </row>
    <row r="7" spans="1:1" x14ac:dyDescent="0.25">
      <c r="A7" t="s">
        <v>61</v>
      </c>
    </row>
    <row r="9" spans="1:1" x14ac:dyDescent="0.25">
      <c r="A9" s="1" t="s">
        <v>62</v>
      </c>
    </row>
    <row r="10" spans="1:1" x14ac:dyDescent="0.25">
      <c r="A10" t="s">
        <v>41</v>
      </c>
    </row>
    <row r="11" spans="1:1" x14ac:dyDescent="0.25">
      <c r="A11" t="s">
        <v>45</v>
      </c>
    </row>
    <row r="12" spans="1:1" x14ac:dyDescent="0.25">
      <c r="A12" t="s">
        <v>48</v>
      </c>
    </row>
    <row r="13" spans="1:1" x14ac:dyDescent="0.25">
      <c r="A13" t="s">
        <v>63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E0DC6-C8F8-4854-9E9A-922B52E4E05E}">
  <sheetPr codeName="Sheet9"/>
  <dimension ref="A1:G3"/>
  <sheetViews>
    <sheetView workbookViewId="0"/>
  </sheetViews>
  <sheetFormatPr defaultRowHeight="15" x14ac:dyDescent="0.25"/>
  <cols>
    <col min="1" max="16384" width="9" style="4"/>
  </cols>
  <sheetData>
    <row r="1" spans="1:7" x14ac:dyDescent="0.25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</row>
    <row r="2" spans="1:7" x14ac:dyDescent="0.25">
      <c r="A2" s="4" t="s">
        <v>10</v>
      </c>
      <c r="B2" s="4" t="s">
        <v>11</v>
      </c>
      <c r="C2" s="4">
        <v>0</v>
      </c>
      <c r="D2" s="4">
        <v>1</v>
      </c>
      <c r="E2" s="4">
        <v>1</v>
      </c>
      <c r="F2" s="4">
        <v>1</v>
      </c>
      <c r="G2" s="4">
        <v>1</v>
      </c>
    </row>
    <row r="3" spans="1:7" x14ac:dyDescent="0.25">
      <c r="A3" s="4" t="s">
        <v>10</v>
      </c>
      <c r="B3" s="4" t="s">
        <v>11</v>
      </c>
      <c r="C3" s="4">
        <v>4</v>
      </c>
      <c r="D3" s="4">
        <v>0</v>
      </c>
      <c r="E3" s="4">
        <v>0</v>
      </c>
      <c r="F3" s="4">
        <v>0</v>
      </c>
      <c r="G3" s="4">
        <v>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1EF4F-0F27-47A2-9164-E552E79788E5}">
  <sheetPr codeName="Sheet10"/>
  <dimension ref="A1:J8"/>
  <sheetViews>
    <sheetView workbookViewId="0"/>
  </sheetViews>
  <sheetFormatPr defaultRowHeight="15" x14ac:dyDescent="0.25"/>
  <cols>
    <col min="1" max="16384" width="9" style="4"/>
  </cols>
  <sheetData>
    <row r="1" spans="1:10" x14ac:dyDescent="0.25">
      <c r="A1" s="4" t="s">
        <v>3</v>
      </c>
      <c r="B1" s="4" t="s">
        <v>12</v>
      </c>
      <c r="C1" s="4" t="s">
        <v>13</v>
      </c>
      <c r="D1" s="4" t="s">
        <v>14</v>
      </c>
      <c r="E1" s="4" t="s">
        <v>15</v>
      </c>
      <c r="F1" s="4" t="s">
        <v>16</v>
      </c>
      <c r="G1" s="4" t="s">
        <v>17</v>
      </c>
      <c r="H1" s="4" t="s">
        <v>18</v>
      </c>
      <c r="I1" s="4" t="s">
        <v>19</v>
      </c>
      <c r="J1" s="4" t="s">
        <v>20</v>
      </c>
    </row>
    <row r="2" spans="1:10" x14ac:dyDescent="0.25">
      <c r="A2" s="4" t="s">
        <v>10</v>
      </c>
      <c r="B2" s="4">
        <v>1</v>
      </c>
      <c r="C2" s="4">
        <v>4</v>
      </c>
      <c r="D2" s="4" t="s">
        <v>21</v>
      </c>
      <c r="E2" s="4" t="s">
        <v>22</v>
      </c>
      <c r="F2" s="4" t="s">
        <v>23</v>
      </c>
      <c r="G2" s="4">
        <v>1</v>
      </c>
      <c r="H2" s="4">
        <v>0</v>
      </c>
      <c r="I2" s="4">
        <v>0</v>
      </c>
      <c r="J2" s="4">
        <v>14400</v>
      </c>
    </row>
    <row r="3" spans="1:10" x14ac:dyDescent="0.25">
      <c r="A3" s="4" t="s">
        <v>10</v>
      </c>
      <c r="B3" s="4">
        <v>1</v>
      </c>
      <c r="C3" s="4">
        <v>4</v>
      </c>
      <c r="D3" s="4" t="s">
        <v>24</v>
      </c>
      <c r="E3" s="4" t="s">
        <v>25</v>
      </c>
      <c r="F3" s="4" t="s">
        <v>23</v>
      </c>
      <c r="G3" s="4">
        <v>1</v>
      </c>
      <c r="H3" s="4">
        <v>0</v>
      </c>
      <c r="I3" s="4">
        <v>0</v>
      </c>
      <c r="J3" s="4">
        <v>14400</v>
      </c>
    </row>
    <row r="4" spans="1:10" x14ac:dyDescent="0.25">
      <c r="A4" s="4" t="s">
        <v>10</v>
      </c>
      <c r="B4" s="4">
        <v>1</v>
      </c>
      <c r="C4" s="4">
        <v>4</v>
      </c>
      <c r="D4" s="4" t="s">
        <v>26</v>
      </c>
      <c r="J4" s="4">
        <v>14400</v>
      </c>
    </row>
    <row r="5" spans="1:10" x14ac:dyDescent="0.25">
      <c r="A5" s="4" t="s">
        <v>10</v>
      </c>
      <c r="B5" s="4">
        <v>1</v>
      </c>
      <c r="C5" s="4">
        <v>4</v>
      </c>
      <c r="D5" s="4" t="s">
        <v>27</v>
      </c>
      <c r="J5" s="4">
        <v>14400</v>
      </c>
    </row>
    <row r="6" spans="1:10" x14ac:dyDescent="0.25">
      <c r="A6" s="4" t="s">
        <v>10</v>
      </c>
      <c r="B6" s="4">
        <v>1</v>
      </c>
      <c r="C6" s="4">
        <v>4</v>
      </c>
      <c r="D6" s="4" t="s">
        <v>28</v>
      </c>
      <c r="J6" s="4">
        <v>0</v>
      </c>
    </row>
    <row r="7" spans="1:10" x14ac:dyDescent="0.25">
      <c r="A7" s="4" t="s">
        <v>10</v>
      </c>
      <c r="B7" s="4">
        <v>1</v>
      </c>
      <c r="C7" s="4">
        <v>4</v>
      </c>
      <c r="D7" s="4" t="s">
        <v>29</v>
      </c>
      <c r="J7" s="4">
        <v>0</v>
      </c>
    </row>
    <row r="8" spans="1:10" x14ac:dyDescent="0.25">
      <c r="A8" s="4" t="s">
        <v>10</v>
      </c>
      <c r="B8" s="4">
        <v>1</v>
      </c>
      <c r="C8" s="4">
        <v>4</v>
      </c>
      <c r="D8" s="4" t="s">
        <v>30</v>
      </c>
      <c r="E8" s="4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Inputs</vt:lpstr>
      <vt:lpstr>general</vt:lpstr>
      <vt:lpstr>load-profile</vt:lpstr>
      <vt:lpstr>scenario</vt:lpstr>
      <vt:lpstr>building-level</vt:lpstr>
      <vt:lpstr>cluster-level</vt:lpstr>
      <vt:lpstr>community-level</vt:lpstr>
      <vt:lpstr>pull-down-lists</vt:lpstr>
      <vt:lpstr>out</vt:lpstr>
      <vt:lpstr>stats</vt:lpstr>
      <vt:lpstr>building_level_building_id</vt:lpstr>
      <vt:lpstr>building_level_echiller_eff_pct</vt:lpstr>
      <vt:lpstr>building_level_echiller_flag</vt:lpstr>
      <vt:lpstr>building_level_echiller_peak_cooling_kW</vt:lpstr>
      <vt:lpstr>building_level_egen_eff_pct</vt:lpstr>
      <vt:lpstr>building_level_egen_flag</vt:lpstr>
      <vt:lpstr>building_level_egen_peak_pwr_kW</vt:lpstr>
      <vt:lpstr>building_level_gas_boiler_eff_pct</vt:lpstr>
      <vt:lpstr>building_level_gas_boiler_flag</vt:lpstr>
      <vt:lpstr>building_level_gas_boiler_peak_heat_gen_kW</vt:lpstr>
      <vt:lpstr>building_level_heat_storage_cap_kWh</vt:lpstr>
      <vt:lpstr>building_level_heat_storage_flag</vt:lpstr>
      <vt:lpstr>exe_path</vt:lpstr>
      <vt:lpstr>input_file_path</vt:lpstr>
      <vt:lpstr>load_profile_building_id</vt:lpstr>
      <vt:lpstr>load_profile_scenario_id</vt:lpstr>
      <vt:lpstr>output_file_path</vt:lpstr>
      <vt:lpstr>random_seed</vt:lpstr>
      <vt:lpstr>random_setting</vt:lpstr>
      <vt:lpstr>scenario_duration_in_hours</vt:lpstr>
      <vt:lpstr>scenario_fixed_frequency_in_years</vt:lpstr>
      <vt:lpstr>scenario_id</vt:lpstr>
      <vt:lpstr>scenario_max_occurrence</vt:lpstr>
      <vt:lpstr>simulation_dur_years</vt:lpstr>
      <vt:lpstr>stats_file_path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Larson</cp:lastModifiedBy>
  <dcterms:created xsi:type="dcterms:W3CDTF">2020-06-24T15:27:13Z</dcterms:created>
  <dcterms:modified xsi:type="dcterms:W3CDTF">2020-07-03T22:55:47Z</dcterms:modified>
</cp:coreProperties>
</file>