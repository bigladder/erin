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D212D035-FF62-46EA-B5CB-B5B48DBBE097}" xr6:coauthVersionLast="45" xr6:coauthVersionMax="45" xr10:uidLastSave="{00000000-0000-0000-0000-000000000000}"/>
  <bookViews>
    <workbookView xWindow="-120" yWindow="-120" windowWidth="25440" windowHeight="1447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menus" sheetId="578" state="hidden" r:id="rId6"/>
    <sheet name="component-failure-mode" sheetId="579" state="hidden" r:id="rId7"/>
    <sheet name="component-fragility" sheetId="580" state="hidden" r:id="rId8"/>
    <sheet name="converter-component" sheetId="581" state="hidden" r:id="rId9"/>
    <sheet name="damage-intensity" sheetId="582" state="hidden" r:id="rId10"/>
    <sheet name="dual-outflow-converter-comp" sheetId="594" state="hidden" r:id="rId11"/>
    <sheet name="failure-mode" sheetId="583" state="hidden" r:id="rId12"/>
    <sheet name="fixed-cdf" sheetId="584" state="hidden" r:id="rId13"/>
    <sheet name="fragility-curve" sheetId="585" state="hidden" r:id="rId14"/>
    <sheet name="general" sheetId="586" state="hidden" r:id="rId15"/>
    <sheet name="load-component" sheetId="587" state="hidden" r:id="rId16"/>
    <sheet name="out" sheetId="685" r:id="rId17"/>
    <sheet name="stats" sheetId="686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5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<sst xmlns="http://schemas.openxmlformats.org/spreadsheetml/2006/main" count="229" uniqueCount="146">
  <si>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</si>
  <si>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</si>
  <si>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</si>
  <si>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</si>
  <si>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</si>
  <si>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</si>
  <si>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</si>
  <si>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</si>
  <si>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</si>
  <si>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</si>
  <si>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</si>
  <si>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</si>
  <si>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</si>
  <si>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</si>
  <si>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</si>
  <si>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</si>
  <si>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</si>
  <si>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</si>
  <si>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</si>
  <si>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</si>
  <si>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</si>
  <si>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</si>
  <si>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</si>
  <si>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</si>
  <si>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</si>
  <si>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</si>
  <si>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</si>
  <si>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</si>
  <si>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</si>
  <si>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</si>
  <si>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</si>
  <si>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</si>
  <si>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</si>
  <si>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</si>
  <si>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</si>
  <si>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</si>
  <si>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</si>
  <si>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</si>
  <si>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</si>
  <si>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</si>
  <si>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</si>
  <si>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</si>
  <si>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</si>
  <si>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</si>
  <si>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</si>
  <si>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</si>
  <si>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</si>
  <si>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</si>
  <si>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</si>
  <si>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</si>
  <si>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</si>
  <si>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</si>
  <si>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</si>
  <si>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</si>
  <si>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</si>
  <si>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</si>
  <si>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</si>
  <si>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</si>
  <si>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</si>
  <si>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</si>
  <si>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</si>
  <si>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</si>
  <si>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</si>
  <si>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</si>
  <si>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</si>
  <si>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</si>
  <si>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</si>
  <si>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</si>
  <si>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</si>
  <si>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</si>
  <si>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</si>
  <si>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</si>
  <si>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</si>
  <si>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</si>
  <si>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</si>
  <si>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</si>
  <si>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</si>
  <si>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</si>
  <si>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</si>
  <si>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</si>
  <si>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</si>
  <si>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</si>
  <si>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</si>
  <si>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</si>
  <si>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</si>
  <si>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</si>
  <si>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</si>
  <si>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</si>
  <si>
    <t>mc_electricity</t>
  </si>
  <si>
    <t>other_electricity</t>
  </si>
  <si>
    <t>blue_sky</t>
  </si>
  <si>
    <t>scenario id</t>
  </si>
  <si>
    <t>scenario start time (P[YYYY]-[MM]-[DD]T[hh]:[mm]:[ss])</t>
  </si>
  <si>
    <t>elapsed (hours)</t>
  </si>
  <si>
    <t>mc_electricity:achieved (kW)</t>
  </si>
  <si>
    <t>mc_electricity:requested (kW)</t>
  </si>
  <si>
    <t>other_electricity:achieved (kW)</t>
  </si>
  <si>
    <t>other_electricity:requested (kW)</t>
  </si>
  <si>
    <t>utility_electricity_bus-inflow(0):achieved (kW)</t>
  </si>
  <si>
    <t>utility_electricity_bus-inflow(0):requested (kW)</t>
  </si>
  <si>
    <t>utility_electricity_bus-outflow(0):achieved (kW)</t>
  </si>
  <si>
    <t>utility_electricity_bus-outflow(0):requested (kW)</t>
  </si>
  <si>
    <t>utility_electricity_bus-outflow(1):achieved (kW)</t>
  </si>
  <si>
    <t>utility_electricity_bus-outflow(1):requested (kW)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</si>
  <si>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</si>
  <si>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</si>
  <si>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</si>
  <si>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</si>
  <si>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</si>
  <si>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</si>
  <si>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</si>
  <si>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</si>
  <si>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</si>
  <si>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</si>
  <si>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utility_electricity_bus-inflow(0)</t>
  </si>
  <si>
    <t>muxer</t>
  </si>
  <si>
    <t>utility_electricity_bus-outflow(0)</t>
  </si>
  <si>
    <t>utility_electricity_bus-outflow(1)</t>
  </si>
  <si>
    <t>TOTAL (source)</t>
  </si>
  <si>
    <t>TOTAL (load)</t>
  </si>
  <si>
    <t>TOTAL (storage)</t>
  </si>
  <si>
    <t>TOTAL (waste)</t>
  </si>
  <si>
    <t>ENERGY BALANCE (source-(load+storage+waste))</t>
  </si>
  <si>
    <t>source2</t>
  </si>
  <si>
    <t>source2:achieved (kW)</t>
  </si>
  <si>
    <t>source2:requested (kW)</t>
  </si>
  <si>
    <t>mc_heating</t>
  </si>
  <si>
    <t>source1</t>
  </si>
  <si>
    <t>mc_heating:achieved (kW)</t>
  </si>
  <si>
    <t>mc_heating:requested (kW)</t>
  </si>
  <si>
    <t>source1:achieved (kW)</t>
  </si>
  <si>
    <t>source1:requested (kW)</t>
  </si>
  <si>
    <t>storage1-discharge:achieved (kW)</t>
  </si>
  <si>
    <t>storage1-discharge:requested (kW)</t>
  </si>
  <si>
    <t>storage1-inflow:achieved (kW)</t>
  </si>
  <si>
    <t>storage1-inflow:requested (kW)</t>
  </si>
  <si>
    <t>storage1-outflow:achieved (kW)</t>
  </si>
  <si>
    <t>storage1-outflow:requested (kW)</t>
  </si>
  <si>
    <t>storage1-storeflow:achieved (kW)</t>
  </si>
  <si>
    <t>storage1-storeflow:requested (kW)</t>
  </si>
  <si>
    <t>heating energy used (kJ)</t>
  </si>
  <si>
    <t>storage1-discharge</t>
  </si>
  <si>
    <t>storage</t>
  </si>
  <si>
    <t>storage1-inflow</t>
  </si>
  <si>
    <t>storage1-outflow</t>
  </si>
  <si>
    <t>storage1-storeflow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</si>
</sst>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0">
    <xf numFmtId="0" fontId="0" fillId="0" borderId="0"/>
    <xf numFmtId="0" fontId="17" fillId="0" borderId="0"/>
    <xf numFmtId="0" fontId="19" fillId="2" borderId="1" applyNumberFormat="0" applyAlignment="0" applyProtection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8">
    <xf numFmtId="0" fontId="0" fillId="0" borderId="0" xfId="0"/>
    <xf numFmtId="0" fontId="18" fillId="0" borderId="0" xfId="0" applyFont="1"/>
    <xf numFmtId="0" fontId="20" fillId="0" borderId="0" xfId="0" applyFont="1"/>
    <xf numFmtId="0" fontId="0" fillId="0" borderId="0" xfId="0"/>
    <xf numFmtId="0" fontId="18" fillId="0" borderId="0" xfId="0" applyFont="1"/>
    <xf numFmtId="0" fontId="4" fillId="0" borderId="0" xfId="26"/>
    <xf numFmtId="0" fontId="1" fillId="0" borderId="0" xfId="29"/>
    <xf numFmtId="11" fontId="1" fillId="0" borderId="0" xfId="29" applyNumberFormat="1"/>
  </cellXfs>
  <cellStyles count="30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18" xfId="29" xr:uid="{992B77EB-C35B-42E1-AD96-4BBADED2C45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6" name="Button 1705" hidden="1">
                <a:extLst>
                  <a:ext uri="{63B3BB69-23CF-44E3-9099-C40C66FF867C}">
                    <a14:compatExt spid="_x0000_s44086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3" name="Graphic 2" descr="Pencil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4" name="edit_group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7" name="Button 55" hidden="1">
                <a:extLst>
                  <a:ext uri="{63B3BB69-23CF-44E3-9099-C40C66FF867C}">
                    <a14:compatExt spid="_x0000_s44087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8" name="Graphic 17" descr="Pencil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2" name="Button 22" hidden="1">
                <a:extLst>
                  <a:ext uri="{63B3BB69-23CF-44E3-9099-C40C66FF867C}">
                    <a14:compatExt spid="_x0000_s46102"/>
                  </a:ext>
                  <a:ext uri="{FF2B5EF4-FFF2-40B4-BE49-F238E27FC236}">
                    <a16:creationId xmlns:a16="http://schemas.microsoft.com/office/drawing/2014/main" id="{00000000-0008-0000-0300-000016B4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0" name="Graphic 19" descr="Pencil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2" name="edit_group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1" name="Button 21" hidden="1">
                <a:extLst>
                  <a:ext uri="{63B3BB69-23CF-44E3-9099-C40C66FF867C}">
                    <a14:compatExt spid="_x0000_s46101"/>
                  </a:ext>
                  <a:ext uri="{FF2B5EF4-FFF2-40B4-BE49-F238E27FC236}">
                    <a16:creationId xmlns:a16="http://schemas.microsoft.com/office/drawing/2014/main" id="{00000000-0008-0000-0300-000015B4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5" name="Graphic 14" descr="Pencil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2</xdr:col>
      <xdr:colOff>57150</xdr:colOff>
      <xdr:row>0</xdr:row>
      <xdr:rowOff>47625</xdr:rowOff>
    </xdr:from>
    <xdr:to>
      <xdr:col>2</xdr:col>
      <xdr:colOff>514350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2133600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</xdr:col>
      <xdr:colOff>133350</xdr:colOff>
      <xdr:row>0</xdr:row>
      <xdr:rowOff>47625</xdr:rowOff>
    </xdr:from>
    <xdr:to>
      <xdr:col>3</xdr:col>
      <xdr:colOff>590550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895600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4" name="Button 48" hidden="1">
                <a:extLst>
                  <a:ext uri="{63B3BB69-23CF-44E3-9099-C40C66FF867C}">
                    <a14:compatExt spid="_x0000_s45104"/>
                  </a:ext>
                  <a:ext uri="{FF2B5EF4-FFF2-40B4-BE49-F238E27FC236}">
                    <a16:creationId xmlns:a16="http://schemas.microsoft.com/office/drawing/2014/main" id="{00000000-0008-0000-0400-000030B0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3" name="edit_group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5" name="Button 49" hidden="1">
                <a:extLst>
                  <a:ext uri="{63B3BB69-23CF-44E3-9099-C40C66FF867C}">
                    <a14:compatExt spid="_x0000_s45105"/>
                  </a:ext>
                  <a:ext uri="{FF2B5EF4-FFF2-40B4-BE49-F238E27FC236}">
                    <a16:creationId xmlns:a16="http://schemas.microsoft.com/office/drawing/2014/main" id="{00000000-0008-0000-0400-000031B0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24" name="Graphic 23" descr="Pencil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/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/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 macro="[0]!DoNothing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Button 54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Button 55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/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Button 21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Button 22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/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514350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3</xdr:col>
                    <xdr:colOff>133350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9" name="Button 48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10" name="Button 49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I28" sqref="I28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C2" sqref="C2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C1" sqref="C1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A2" sqref="A2:XFD4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C15" sqref="C15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/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2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4D61E-8773-486E-9496-2E63D1406B91}">
  <dimension ref="A1:AA7"/>
  <sheetViews>
    <sheetView workbookViewId="0"/>
  </sheetViews>
  <sheetFormatPr defaultRowHeight="15" x14ac:dyDescent="0.25"/>
  <cols>
    <col min="1" max="16384" width="9" style="6"/>
  </cols>
  <sheetData>
    <row r="1" spans="1:27" x14ac:dyDescent="0.25">
      <c r="A1" s="6" t="s">
        <v>91</v>
      </c>
      <c r="B1" s="6" t="s">
        <v>92</v>
      </c>
      <c r="C1" s="6" t="s">
        <v>93</v>
      </c>
      <c r="D1" s="6" t="s">
        <v>94</v>
      </c>
      <c r="E1" s="6" t="s">
        <v>95</v>
      </c>
      <c r="F1" s="6" t="s">
        <v>128</v>
      </c>
      <c r="G1" s="6" t="s">
        <v>129</v>
      </c>
      <c r="H1" s="6" t="s">
        <v>96</v>
      </c>
      <c r="I1" s="6" t="s">
        <v>97</v>
      </c>
      <c r="J1" s="6" t="s">
        <v>130</v>
      </c>
      <c r="K1" s="6" t="s">
        <v>131</v>
      </c>
      <c r="L1" s="6" t="s">
        <v>124</v>
      </c>
      <c r="M1" s="6" t="s">
        <v>125</v>
      </c>
      <c r="N1" s="6" t="s">
        <v>132</v>
      </c>
      <c r="O1" s="6" t="s">
        <v>133</v>
      </c>
      <c r="P1" s="6" t="s">
        <v>134</v>
      </c>
      <c r="Q1" s="6" t="s">
        <v>135</v>
      </c>
      <c r="R1" s="6" t="s">
        <v>136</v>
      </c>
      <c r="S1" s="6" t="s">
        <v>137</v>
      </c>
      <c r="T1" s="6" t="s">
        <v>138</v>
      </c>
      <c r="U1" s="6" t="s">
        <v>139</v>
      </c>
      <c r="V1" s="6" t="s">
        <v>98</v>
      </c>
      <c r="W1" s="6" t="s">
        <v>99</v>
      </c>
      <c r="X1" s="6" t="s">
        <v>100</v>
      </c>
      <c r="Y1" s="6" t="s">
        <v>101</v>
      </c>
      <c r="Z1" s="6" t="s">
        <v>102</v>
      </c>
      <c r="AA1" s="6" t="s">
        <v>103</v>
      </c>
    </row>
    <row r="2" spans="1:27" x14ac:dyDescent="0.25">
      <c r="A2" s="6" t="s">
        <v>90</v>
      </c>
      <c r="B2" s="6" t="s">
        <v>104</v>
      </c>
      <c r="C2" s="6">
        <v>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2000</v>
      </c>
      <c r="K2" s="6">
        <v>2000</v>
      </c>
      <c r="L2" s="6">
        <v>10</v>
      </c>
      <c r="M2" s="6">
        <v>10</v>
      </c>
      <c r="N2" s="6">
        <v>990</v>
      </c>
      <c r="O2" s="6">
        <v>990</v>
      </c>
      <c r="P2" s="6">
        <v>10</v>
      </c>
      <c r="Q2" s="6">
        <v>10</v>
      </c>
      <c r="R2" s="6">
        <v>1000</v>
      </c>
      <c r="S2" s="6">
        <v>1000</v>
      </c>
      <c r="T2" s="6">
        <v>0</v>
      </c>
      <c r="U2" s="6">
        <v>0</v>
      </c>
      <c r="V2" s="6">
        <v>2000</v>
      </c>
      <c r="W2" s="6">
        <v>2000</v>
      </c>
      <c r="X2" s="6">
        <v>1000</v>
      </c>
      <c r="Y2" s="6">
        <v>1000</v>
      </c>
      <c r="Z2" s="6">
        <v>1000</v>
      </c>
      <c r="AA2" s="6">
        <v>1000</v>
      </c>
    </row>
    <row r="3" spans="1:27" x14ac:dyDescent="0.25">
      <c r="A3" s="6" t="s">
        <v>90</v>
      </c>
      <c r="B3" s="6" t="s">
        <v>104</v>
      </c>
      <c r="C3" s="6">
        <v>0.100833333333333</v>
      </c>
      <c r="D3" s="6">
        <v>1000</v>
      </c>
      <c r="E3" s="6">
        <v>1000</v>
      </c>
      <c r="F3" s="6">
        <v>10</v>
      </c>
      <c r="G3" s="6">
        <v>1000</v>
      </c>
      <c r="H3" s="6">
        <v>1000</v>
      </c>
      <c r="I3" s="6">
        <v>1000</v>
      </c>
      <c r="J3" s="6">
        <v>2000</v>
      </c>
      <c r="K3" s="6">
        <v>2000</v>
      </c>
      <c r="L3" s="6">
        <v>10</v>
      </c>
      <c r="M3" s="6">
        <v>10</v>
      </c>
      <c r="N3" s="6">
        <v>990</v>
      </c>
      <c r="O3" s="6">
        <v>990</v>
      </c>
      <c r="P3" s="6">
        <v>10</v>
      </c>
      <c r="Q3" s="6">
        <v>10</v>
      </c>
      <c r="R3" s="6">
        <v>1000</v>
      </c>
      <c r="S3" s="6">
        <v>1000</v>
      </c>
      <c r="T3" s="6">
        <v>0</v>
      </c>
      <c r="U3" s="6">
        <v>0</v>
      </c>
      <c r="V3" s="6">
        <v>2000</v>
      </c>
      <c r="W3" s="6">
        <v>2000</v>
      </c>
      <c r="X3" s="6">
        <v>1000</v>
      </c>
      <c r="Y3" s="6">
        <v>1000</v>
      </c>
      <c r="Z3" s="6">
        <v>1000</v>
      </c>
      <c r="AA3" s="6">
        <v>1000</v>
      </c>
    </row>
    <row r="4" spans="1:27" x14ac:dyDescent="0.25">
      <c r="A4" s="6" t="s">
        <v>90</v>
      </c>
      <c r="B4" s="6" t="s">
        <v>104</v>
      </c>
      <c r="C4" s="6">
        <v>0.101111111111111</v>
      </c>
      <c r="D4" s="6">
        <v>1000</v>
      </c>
      <c r="E4" s="6">
        <v>1000</v>
      </c>
      <c r="F4" s="6">
        <v>10</v>
      </c>
      <c r="G4" s="6">
        <v>1000</v>
      </c>
      <c r="H4" s="6">
        <v>1000</v>
      </c>
      <c r="I4" s="6">
        <v>1000</v>
      </c>
      <c r="J4" s="6">
        <v>2000</v>
      </c>
      <c r="K4" s="6">
        <v>2000</v>
      </c>
      <c r="L4" s="6">
        <v>10</v>
      </c>
      <c r="M4" s="6">
        <v>10</v>
      </c>
      <c r="N4" s="6">
        <v>0</v>
      </c>
      <c r="O4" s="6">
        <v>990</v>
      </c>
      <c r="P4" s="6">
        <v>10</v>
      </c>
      <c r="Q4" s="6">
        <v>10</v>
      </c>
      <c r="R4" s="6">
        <v>10</v>
      </c>
      <c r="S4" s="6">
        <v>1000</v>
      </c>
      <c r="T4" s="6">
        <v>0</v>
      </c>
      <c r="U4" s="6">
        <v>0</v>
      </c>
      <c r="V4" s="6">
        <v>2000</v>
      </c>
      <c r="W4" s="6">
        <v>2000</v>
      </c>
      <c r="X4" s="6">
        <v>1000</v>
      </c>
      <c r="Y4" s="6">
        <v>1000</v>
      </c>
      <c r="Z4" s="6">
        <v>1000</v>
      </c>
      <c r="AA4" s="6">
        <v>1000</v>
      </c>
    </row>
    <row r="5" spans="1:27" x14ac:dyDescent="0.25">
      <c r="A5" s="6" t="s">
        <v>90</v>
      </c>
      <c r="B5" s="6" t="s">
        <v>104</v>
      </c>
      <c r="C5" s="6">
        <v>336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10</v>
      </c>
      <c r="M5" s="6">
        <v>10</v>
      </c>
      <c r="N5" s="6">
        <v>0</v>
      </c>
      <c r="O5" s="6">
        <v>0</v>
      </c>
      <c r="P5" s="6">
        <v>10</v>
      </c>
      <c r="Q5" s="6">
        <v>10</v>
      </c>
      <c r="R5" s="6">
        <v>0</v>
      </c>
      <c r="S5" s="6">
        <v>0</v>
      </c>
      <c r="T5" s="6">
        <v>10</v>
      </c>
      <c r="U5" s="6">
        <v>10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</row>
    <row r="6" spans="1:27" x14ac:dyDescent="0.25">
      <c r="A6" s="6" t="s">
        <v>90</v>
      </c>
      <c r="B6" s="6" t="s">
        <v>104</v>
      </c>
      <c r="C6" s="6">
        <v>346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</row>
    <row r="7" spans="1:27" x14ac:dyDescent="0.25">
      <c r="A7" s="6" t="s">
        <v>90</v>
      </c>
      <c r="B7" s="6" t="s">
        <v>104</v>
      </c>
      <c r="C7" s="6">
        <v>8760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F840-AA38-42F1-8F9A-9A4BFA7E02A2}">
  <dimension ref="A1:K18"/>
  <sheetViews>
    <sheetView workbookViewId="0"/>
  </sheetViews>
  <sheetFormatPr defaultRowHeight="15" x14ac:dyDescent="0.25"/>
  <cols>
    <col min="1" max="16384" width="9" style="6"/>
  </cols>
  <sheetData>
    <row r="1" spans="1:11" x14ac:dyDescent="0.25">
      <c r="A1" s="6" t="s">
        <v>91</v>
      </c>
      <c r="B1" s="6" t="s">
        <v>105</v>
      </c>
      <c r="C1" s="6" t="s">
        <v>106</v>
      </c>
      <c r="D1" s="6" t="s">
        <v>107</v>
      </c>
      <c r="E1" s="6" t="s">
        <v>108</v>
      </c>
      <c r="F1" s="6" t="s">
        <v>109</v>
      </c>
      <c r="G1" s="6" t="s">
        <v>110</v>
      </c>
      <c r="H1" s="6" t="s">
        <v>111</v>
      </c>
      <c r="I1" s="6" t="s">
        <v>112</v>
      </c>
      <c r="J1" s="6" t="s">
        <v>113</v>
      </c>
      <c r="K1" s="6" t="s">
        <v>140</v>
      </c>
    </row>
    <row r="2" spans="1:11" x14ac:dyDescent="0.25">
      <c r="A2" s="6" t="s">
        <v>90</v>
      </c>
      <c r="B2" s="6">
        <v>1</v>
      </c>
      <c r="C2" s="6">
        <v>8760</v>
      </c>
      <c r="D2" s="6" t="s">
        <v>88</v>
      </c>
      <c r="E2" s="6" t="s">
        <v>0</v>
      </c>
      <c r="F2" s="6" t="s">
        <v>1</v>
      </c>
      <c r="G2" s="6">
        <v>1</v>
      </c>
      <c r="H2" s="6">
        <v>0</v>
      </c>
      <c r="I2" s="6">
        <v>0</v>
      </c>
      <c r="J2" s="7">
        <v>1209600000</v>
      </c>
      <c r="K2" s="6">
        <v>0</v>
      </c>
    </row>
    <row r="3" spans="1:11" x14ac:dyDescent="0.25">
      <c r="A3" s="6" t="s">
        <v>90</v>
      </c>
      <c r="B3" s="6">
        <v>1</v>
      </c>
      <c r="C3" s="6">
        <v>8760</v>
      </c>
      <c r="D3" s="6" t="s">
        <v>126</v>
      </c>
      <c r="E3" s="6" t="s">
        <v>0</v>
      </c>
      <c r="F3" s="6" t="s">
        <v>4</v>
      </c>
      <c r="G3" s="6">
        <v>0.96165500000000004</v>
      </c>
      <c r="H3" s="6">
        <v>335.899</v>
      </c>
      <c r="I3" s="7">
        <v>1197140000</v>
      </c>
      <c r="J3" s="6">
        <v>0</v>
      </c>
      <c r="K3" s="7">
        <v>12455400</v>
      </c>
    </row>
    <row r="4" spans="1:11" x14ac:dyDescent="0.25">
      <c r="A4" s="6" t="s">
        <v>90</v>
      </c>
      <c r="B4" s="6">
        <v>1</v>
      </c>
      <c r="C4" s="6">
        <v>8760</v>
      </c>
      <c r="D4" s="6" t="s">
        <v>89</v>
      </c>
      <c r="E4" s="6" t="s">
        <v>0</v>
      </c>
      <c r="F4" s="6" t="s">
        <v>1</v>
      </c>
      <c r="G4" s="6">
        <v>1</v>
      </c>
      <c r="H4" s="6">
        <v>0</v>
      </c>
      <c r="I4" s="6">
        <v>0</v>
      </c>
      <c r="J4" s="7">
        <v>1209600000</v>
      </c>
      <c r="K4" s="6">
        <v>0</v>
      </c>
    </row>
    <row r="5" spans="1:11" x14ac:dyDescent="0.25">
      <c r="A5" s="6" t="s">
        <v>90</v>
      </c>
      <c r="B5" s="6">
        <v>1</v>
      </c>
      <c r="C5" s="6">
        <v>8760</v>
      </c>
      <c r="D5" s="6" t="s">
        <v>127</v>
      </c>
      <c r="E5" s="6" t="s">
        <v>2</v>
      </c>
      <c r="F5" s="6" t="s">
        <v>1</v>
      </c>
      <c r="G5" s="6">
        <v>1</v>
      </c>
      <c r="H5" s="6">
        <v>0</v>
      </c>
      <c r="I5" s="6">
        <v>0</v>
      </c>
      <c r="J5" s="7">
        <v>2419200000</v>
      </c>
      <c r="K5" s="6">
        <v>0</v>
      </c>
    </row>
    <row r="6" spans="1:11" x14ac:dyDescent="0.25">
      <c r="A6" s="6" t="s">
        <v>90</v>
      </c>
      <c r="B6" s="6">
        <v>1</v>
      </c>
      <c r="C6" s="6">
        <v>8760</v>
      </c>
      <c r="D6" s="6" t="s">
        <v>123</v>
      </c>
      <c r="E6" s="6" t="s">
        <v>2</v>
      </c>
      <c r="F6" s="6" t="s">
        <v>4</v>
      </c>
      <c r="G6" s="6">
        <v>1</v>
      </c>
      <c r="H6" s="6">
        <v>0</v>
      </c>
      <c r="I6" s="6">
        <v>0</v>
      </c>
      <c r="J6" s="6">
        <v>0</v>
      </c>
      <c r="K6" s="7">
        <v>12456000</v>
      </c>
    </row>
    <row r="7" spans="1:11" x14ac:dyDescent="0.25">
      <c r="A7" s="6" t="s">
        <v>90</v>
      </c>
      <c r="B7" s="6">
        <v>1</v>
      </c>
      <c r="C7" s="6">
        <v>8760</v>
      </c>
      <c r="D7" s="6" t="s">
        <v>141</v>
      </c>
      <c r="E7" s="6" t="s">
        <v>142</v>
      </c>
      <c r="F7" s="6" t="s">
        <v>4</v>
      </c>
      <c r="G7" s="6">
        <v>0.96165500000000004</v>
      </c>
      <c r="H7" s="6">
        <v>335.899</v>
      </c>
      <c r="I7" s="7">
        <v>1197140000</v>
      </c>
      <c r="J7" s="6">
        <v>0</v>
      </c>
      <c r="K7" s="6">
        <v>360360</v>
      </c>
    </row>
    <row r="8" spans="1:11" x14ac:dyDescent="0.25">
      <c r="A8" s="6" t="s">
        <v>90</v>
      </c>
      <c r="B8" s="6">
        <v>1</v>
      </c>
      <c r="C8" s="6">
        <v>8760</v>
      </c>
      <c r="D8" s="6" t="s">
        <v>143</v>
      </c>
      <c r="E8" s="6" t="s">
        <v>142</v>
      </c>
      <c r="F8" s="6" t="s">
        <v>4</v>
      </c>
      <c r="G8" s="6">
        <v>1</v>
      </c>
      <c r="H8" s="6">
        <v>0</v>
      </c>
      <c r="I8" s="6">
        <v>0</v>
      </c>
      <c r="J8" s="6">
        <v>0</v>
      </c>
      <c r="K8" s="7">
        <v>12456000</v>
      </c>
    </row>
    <row r="9" spans="1:11" x14ac:dyDescent="0.25">
      <c r="A9" s="6" t="s">
        <v>90</v>
      </c>
      <c r="B9" s="6">
        <v>1</v>
      </c>
      <c r="C9" s="6">
        <v>8760</v>
      </c>
      <c r="D9" s="6" t="s">
        <v>144</v>
      </c>
      <c r="E9" s="6" t="s">
        <v>142</v>
      </c>
      <c r="F9" s="6" t="s">
        <v>4</v>
      </c>
      <c r="G9" s="6">
        <v>0.96165500000000004</v>
      </c>
      <c r="H9" s="6">
        <v>335.899</v>
      </c>
      <c r="I9" s="7">
        <v>1197140000</v>
      </c>
      <c r="J9" s="6">
        <v>0</v>
      </c>
      <c r="K9" s="7">
        <v>12456400</v>
      </c>
    </row>
    <row r="10" spans="1:11" x14ac:dyDescent="0.25">
      <c r="A10" s="6" t="s">
        <v>90</v>
      </c>
      <c r="B10" s="6">
        <v>1</v>
      </c>
      <c r="C10" s="6">
        <v>8760</v>
      </c>
      <c r="D10" s="6" t="s">
        <v>145</v>
      </c>
      <c r="E10" s="6" t="s">
        <v>142</v>
      </c>
      <c r="F10" s="6" t="s">
        <v>4</v>
      </c>
      <c r="G10" s="6">
        <v>1</v>
      </c>
      <c r="H10" s="6">
        <v>0</v>
      </c>
      <c r="I10" s="6">
        <v>0</v>
      </c>
      <c r="J10" s="6">
        <v>0</v>
      </c>
      <c r="K10" s="6">
        <v>360000</v>
      </c>
    </row>
    <row r="11" spans="1:11" x14ac:dyDescent="0.25">
      <c r="A11" s="6" t="s">
        <v>90</v>
      </c>
      <c r="B11" s="6">
        <v>1</v>
      </c>
      <c r="C11" s="6">
        <v>8760</v>
      </c>
      <c r="D11" s="6" t="s">
        <v>114</v>
      </c>
      <c r="E11" s="6" t="s">
        <v>115</v>
      </c>
      <c r="F11" s="6" t="s">
        <v>1</v>
      </c>
      <c r="G11" s="6">
        <v>1</v>
      </c>
      <c r="H11" s="6">
        <v>0</v>
      </c>
      <c r="I11" s="6">
        <v>0</v>
      </c>
      <c r="J11" s="7">
        <v>2419200000</v>
      </c>
      <c r="K11" s="6">
        <v>0</v>
      </c>
    </row>
    <row r="12" spans="1:11" x14ac:dyDescent="0.25">
      <c r="A12" s="6" t="s">
        <v>90</v>
      </c>
      <c r="B12" s="6">
        <v>1</v>
      </c>
      <c r="C12" s="6">
        <v>8760</v>
      </c>
      <c r="D12" s="6" t="s">
        <v>116</v>
      </c>
      <c r="E12" s="6" t="s">
        <v>115</v>
      </c>
      <c r="F12" s="6" t="s">
        <v>1</v>
      </c>
      <c r="G12" s="6">
        <v>1</v>
      </c>
      <c r="H12" s="6">
        <v>0</v>
      </c>
      <c r="I12" s="6">
        <v>0</v>
      </c>
      <c r="J12" s="7">
        <v>1209600000</v>
      </c>
      <c r="K12" s="6">
        <v>0</v>
      </c>
    </row>
    <row r="13" spans="1:11" x14ac:dyDescent="0.25">
      <c r="A13" s="6" t="s">
        <v>90</v>
      </c>
      <c r="B13" s="6">
        <v>1</v>
      </c>
      <c r="C13" s="6">
        <v>8760</v>
      </c>
      <c r="D13" s="6" t="s">
        <v>117</v>
      </c>
      <c r="E13" s="6" t="s">
        <v>115</v>
      </c>
      <c r="F13" s="6" t="s">
        <v>1</v>
      </c>
      <c r="G13" s="6">
        <v>1</v>
      </c>
      <c r="H13" s="6">
        <v>0</v>
      </c>
      <c r="I13" s="6">
        <v>0</v>
      </c>
      <c r="J13" s="7">
        <v>1209600000</v>
      </c>
      <c r="K13" s="6">
        <v>0</v>
      </c>
    </row>
    <row r="14" spans="1:11" x14ac:dyDescent="0.25">
      <c r="A14" s="6" t="s">
        <v>90</v>
      </c>
      <c r="B14" s="6">
        <v>1</v>
      </c>
      <c r="C14" s="6">
        <v>8760</v>
      </c>
      <c r="D14" s="6" t="s">
        <v>118</v>
      </c>
      <c r="J14" s="7">
        <v>2419200000</v>
      </c>
      <c r="K14" s="7">
        <v>12456000</v>
      </c>
    </row>
    <row r="15" spans="1:11" x14ac:dyDescent="0.25">
      <c r="A15" s="6" t="s">
        <v>90</v>
      </c>
      <c r="B15" s="6">
        <v>1</v>
      </c>
      <c r="C15" s="6">
        <v>8760</v>
      </c>
      <c r="D15" s="6" t="s">
        <v>119</v>
      </c>
      <c r="J15" s="7">
        <v>2419200000</v>
      </c>
      <c r="K15" s="7">
        <v>12455400</v>
      </c>
    </row>
    <row r="16" spans="1:11" x14ac:dyDescent="0.25">
      <c r="A16" s="6" t="s">
        <v>90</v>
      </c>
      <c r="B16" s="6">
        <v>1</v>
      </c>
      <c r="C16" s="6">
        <v>8760</v>
      </c>
      <c r="D16" s="6" t="s">
        <v>120</v>
      </c>
      <c r="J16" s="6">
        <v>0</v>
      </c>
      <c r="K16" s="6">
        <v>-360</v>
      </c>
    </row>
    <row r="17" spans="1:11" x14ac:dyDescent="0.25">
      <c r="A17" s="6" t="s">
        <v>90</v>
      </c>
      <c r="B17" s="6">
        <v>1</v>
      </c>
      <c r="C17" s="6">
        <v>8760</v>
      </c>
      <c r="D17" s="6" t="s">
        <v>121</v>
      </c>
      <c r="J17" s="6">
        <v>0</v>
      </c>
      <c r="K17" s="6">
        <v>0</v>
      </c>
    </row>
    <row r="18" spans="1:11" x14ac:dyDescent="0.25">
      <c r="A18" s="6" t="s">
        <v>90</v>
      </c>
      <c r="B18" s="6">
        <v>1</v>
      </c>
      <c r="C18" s="6">
        <v>8760</v>
      </c>
      <c r="D18" s="6" t="s">
        <v>122</v>
      </c>
      <c r="E18" s="6">
        <v>990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E1"/>
  <sheetViews>
    <sheetView workbookViewId="0">
      <selection activeCell="C3" sqref="C3"/>
    </sheetView>
  </sheetViews>
  <sheetFormatPr defaultColWidth="11" defaultRowHeight="15.75" x14ac:dyDescent="0.25"/>
  <cols>
    <col min="2" max="2" width="11" style="3"/>
  </cols>
  <sheetData>
    <row r="1" spans="1:5" x14ac:dyDescent="0.25">
      <c r="A1" s="2" t="s">
        <v>10</v>
      </c>
      <c r="B1" s="2" t="s">
        <v>49</v>
      </c>
      <c r="C1" t="s">
        <v>46</v>
      </c>
      <c r="D1" t="s">
        <v>28</v>
      </c>
      <c r="E1" t="s">
        <v>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18"/>
  <sheetViews>
    <sheetView workbookViewId="0">
      <selection activeCell="B14" sqref="B14"/>
    </sheetView>
  </sheetViews>
  <sheetFormatPr defaultColWidth="19.125" defaultRowHeight="15.75" x14ac:dyDescent="0.25"/>
  <sheetData>
    <row r="1" spans="1:6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14" spans="1:6" x14ac:dyDescent="0.25">
      <c r="F14" s="2"/>
    </row>
    <row r="15" spans="1:6" x14ac:dyDescent="0.25">
      <c r="F15" s="2"/>
    </row>
    <row r="16" spans="1:6" x14ac:dyDescent="0.25">
      <c r="F16" s="2"/>
    </row>
    <row r="17" spans="6:6" x14ac:dyDescent="0.25">
      <c r="F17" s="2"/>
    </row>
    <row r="18" spans="6:6" x14ac:dyDescent="0.25">
      <c r="F18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B21" sqref="B21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C9" sqref="C9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out</vt:lpstr>
      <vt:lpstr>stats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2020-09-26T14:52:44Z</dcterms:modified>
</cp:coreProperties>
</file>