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icha\Documents\e2rin\gui\"/>
    </mc:Choice>
  </mc:AlternateContent>
  <xr:revisionPtr revIDLastSave="0" documentId="13_ncr:1_{A90F1C35-D5CA-4F2E-9D50-DF260B5144F5}" xr6:coauthVersionLast="46" xr6:coauthVersionMax="46" xr10:uidLastSave="{00000000-0000-0000-0000-000000000000}"/>
  <bookViews>
    <workbookView xWindow="-120" yWindow="480" windowWidth="29040" windowHeight="17640" tabRatio="836" xr2:uid="{C0CE6CFC-F4A7-E448-BB50-AAF297BA234B}"/>
  </bookViews>
  <sheets>
    <sheet name="Instructions" sheetId="577" r:id="rId1"/>
    <sheet name="Settings" sheetId="641" r:id="rId2"/>
    <sheet name="Components" sheetId="596" r:id="rId3"/>
    <sheet name="Network" sheetId="598" r:id="rId4"/>
    <sheet name="Scenarios" sheetId="597" r:id="rId5"/>
    <sheet name="menus" sheetId="578" state="hidden" r:id="rId6"/>
    <sheet name="component-failure-mode" sheetId="579" state="hidden" r:id="rId7"/>
    <sheet name="component-fragility" sheetId="580" state="hidden" r:id="rId8"/>
    <sheet name="converter-component" sheetId="581" state="hidden" r:id="rId9"/>
    <sheet name="damage-intensity" sheetId="582" state="hidden" r:id="rId10"/>
    <sheet name="dual-outflow-converter-comp" sheetId="594" state="hidden" r:id="rId11"/>
    <sheet name="failure-mode" sheetId="583" state="hidden" r:id="rId12"/>
    <sheet name="dist-type" sheetId="687" state="hidden" r:id="rId13"/>
    <sheet name="fixed-dist" sheetId="584" state="hidden" r:id="rId14"/>
    <sheet name="uniform-dist" sheetId="688" state="hidden" r:id="rId15"/>
    <sheet name="normal-dist" sheetId="689" state="hidden" r:id="rId16"/>
    <sheet name="weibull-dist" sheetId="690" state="hidden" r:id="rId17"/>
    <sheet name="quantile-dist" sheetId="691" state="hidden" r:id="rId18"/>
    <sheet name="fragility-curve" sheetId="585" state="hidden" r:id="rId19"/>
    <sheet name="general" sheetId="586" state="hidden" r:id="rId20"/>
    <sheet name="load-component" sheetId="587" state="hidden" r:id="rId21"/>
    <sheet name="out" sheetId="685" r:id="rId22"/>
    <sheet name="stats" sheetId="686" r:id="rId23"/>
    <sheet name="load-profile" sheetId="588" state="hidden" r:id="rId24"/>
    <sheet name="mover-component" sheetId="655" state="hidden" r:id="rId25"/>
    <sheet name="muxer-component" sheetId="589" state="hidden" r:id="rId26"/>
    <sheet name="network-link" sheetId="590" state="hidden" r:id="rId27"/>
    <sheet name="pass-through-component" sheetId="595" state="hidden" r:id="rId28"/>
    <sheet name="scenario" sheetId="592" state="hidden" r:id="rId29"/>
    <sheet name="source-component" sheetId="591" state="hidden" r:id="rId30"/>
    <sheet name="storage-component" sheetId="593" state="hidden" r:id="rId31"/>
    <sheet name="uncontrolled-src" sheetId="656" state="hidden" r:id="rId32"/>
  </sheets>
  <functionGroups builtInGroupCount="19"/>
  <definedNames>
    <definedName name="_xlnm._FilterDatabase" localSheetId="5" hidden="1">menus!$A$6:$A$19</definedName>
    <definedName name="building_level_building_id">#REF!</definedName>
    <definedName name="building_level_echiller_eff_pct">#REF!</definedName>
    <definedName name="building_level_echiller_flag">#REF!</definedName>
    <definedName name="building_level_echiller_peak_cooling_kW">#REF!</definedName>
    <definedName name="building_level_egen_eff_pct">#REF!</definedName>
    <definedName name="building_level_egen_flag">#REF!</definedName>
    <definedName name="building_level_egen_peak_pwr_kW">#REF!</definedName>
    <definedName name="building_level_gas_boiler_eff_pct">#REF!</definedName>
    <definedName name="building_level_gas_boiler_flag">#REF!</definedName>
    <definedName name="building_level_gas_boiler_peak_heat_gen_kW">#REF!</definedName>
    <definedName name="building_level_heat_storage_cap_kWh">#REF!</definedName>
    <definedName name="building_level_heat_storage_flag">#REF!</definedName>
    <definedName name="command_line">#REF!</definedName>
    <definedName name="component_type">Components!#REF!</definedName>
    <definedName name="exe_path">Settings!$C$2</definedName>
    <definedName name="flows">menus!$A$22:$A$30</definedName>
    <definedName name="input_file_path">#REF!</definedName>
    <definedName name="load_profile_building_id">#REF!</definedName>
    <definedName name="load_profile_enduse">#REF!</definedName>
    <definedName name="load_profile_file">#REF!</definedName>
    <definedName name="load_profile_scenario_id">#REF!</definedName>
    <definedName name="output_file_path">#REF!</definedName>
    <definedName name="random_seed">#REF!</definedName>
    <definedName name="random_setting">#REF!</definedName>
    <definedName name="scenario_duration_in_hours">#REF!</definedName>
    <definedName name="scenario_fixed_frequency_in_years">#REF!</definedName>
    <definedName name="scenario_id">#REF!</definedName>
    <definedName name="scenario_max_occurrence">#REF!</definedName>
    <definedName name="simulation_dur_years">#REF!</definedName>
    <definedName name="simulation_duration_in_years">#REF!</definedName>
    <definedName name="stats_file_path">#REF!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586" l="1"/>
  <c r="B2" i="586"/>
  <c r="A2" i="586"/>
</calcChain>
</file>

<file path=xl/sharedStrings.xml><?xml version="1.0" encoding="utf-8"?>
<sst xmlns="http://schemas.openxmlformats.org/spreadsheetml/2006/main" count="258" uniqueCount="162">
  <si>
    <t>load</t>
  </si>
  <si>
    <t>electricity</t>
  </si>
  <si>
    <t>source</t>
  </si>
  <si>
    <t>heating</t>
  </si>
  <si>
    <t>Random Setting</t>
  </si>
  <si>
    <t>Auto</t>
  </si>
  <si>
    <t>simulation_duration_in_years</t>
  </si>
  <si>
    <t>random_setting</t>
  </si>
  <si>
    <t>random_seed</t>
  </si>
  <si>
    <t>scenario_id</t>
  </si>
  <si>
    <t>file</t>
  </si>
  <si>
    <t>id</t>
  </si>
  <si>
    <t>duration_in_hours</t>
  </si>
  <si>
    <t>max_occurrence</t>
  </si>
  <si>
    <t>location_id</t>
  </si>
  <si>
    <t>outflow</t>
  </si>
  <si>
    <t>is_limited</t>
  </si>
  <si>
    <t>max_outflow_kW</t>
  </si>
  <si>
    <t>inflow</t>
  </si>
  <si>
    <t>lossflow</t>
  </si>
  <si>
    <t>constant_efficiency</t>
  </si>
  <si>
    <t>value_in_hours</t>
  </si>
  <si>
    <t>always</t>
  </si>
  <si>
    <t>occurrence_distribution</t>
  </si>
  <si>
    <t>calc_reliability</t>
  </si>
  <si>
    <t>source_location_id</t>
  </si>
  <si>
    <t>destination_location_id</t>
  </si>
  <si>
    <t>flow</t>
  </si>
  <si>
    <t>capacity_kWh</t>
  </si>
  <si>
    <t>max_inflow_kW</t>
  </si>
  <si>
    <t>LOCATIONS</t>
  </si>
  <si>
    <t>COMPONENTS</t>
  </si>
  <si>
    <t>SCENARIOS</t>
  </si>
  <si>
    <t>natural gas</t>
  </si>
  <si>
    <t>diesel</t>
  </si>
  <si>
    <t>statistical distribution types</t>
  </si>
  <si>
    <t>fixed</t>
  </si>
  <si>
    <t>uniform</t>
  </si>
  <si>
    <t>component types</t>
  </si>
  <si>
    <t>batteries (storage)</t>
  </si>
  <si>
    <t>boiler (converter)</t>
  </si>
  <si>
    <t>electric generator (converter)</t>
  </si>
  <si>
    <t>generic converter</t>
  </si>
  <si>
    <t>generic storage</t>
  </si>
  <si>
    <t>thermal energy storage (storage)</t>
  </si>
  <si>
    <t>component_id</t>
  </si>
  <si>
    <t>failure_mode_id</t>
  </si>
  <si>
    <t>fragility_id</t>
  </si>
  <si>
    <t>name</t>
  </si>
  <si>
    <t>value</t>
  </si>
  <si>
    <t>vulnerable_to</t>
  </si>
  <si>
    <t>lower_bound</t>
  </si>
  <si>
    <t>upper_bound</t>
  </si>
  <si>
    <t>num_inflows</t>
  </si>
  <si>
    <t>num_outflows</t>
  </si>
  <si>
    <t>chp - electric primary (dual converter)</t>
  </si>
  <si>
    <t>chp - heating primary (dual converter)</t>
  </si>
  <si>
    <t>generic dual converter</t>
  </si>
  <si>
    <t>line (pass-through)</t>
  </si>
  <si>
    <t>primary_outflow</t>
  </si>
  <si>
    <t>secondary_outflow</t>
  </si>
  <si>
    <t>primary_efficiency</t>
  </si>
  <si>
    <t>secondary_efficiency</t>
  </si>
  <si>
    <t>link_id</t>
  </si>
  <si>
    <t>flows</t>
  </si>
  <si>
    <t>NETWORK ID</t>
  </si>
  <si>
    <t>SOURCE</t>
  </si>
  <si>
    <t>DESTINATION</t>
  </si>
  <si>
    <t>FLOW</t>
  </si>
  <si>
    <t>every_30_years</t>
  </si>
  <si>
    <t>Executible Location:</t>
  </si>
  <si>
    <t>Duration</t>
  </si>
  <si>
    <t>years</t>
  </si>
  <si>
    <t>Random Seed</t>
  </si>
  <si>
    <t>SIMULATION PARAMETERS</t>
  </si>
  <si>
    <t>LIBRARIES:</t>
  </si>
  <si>
    <t>fixed_10yrs</t>
  </si>
  <si>
    <t>flow_moved</t>
  </si>
  <si>
    <t>support_flow</t>
  </si>
  <si>
    <t>cop</t>
  </si>
  <si>
    <t>mover</t>
  </si>
  <si>
    <t>uncontrolled source</t>
  </si>
  <si>
    <t>waste heat</t>
  </si>
  <si>
    <t>heat rejection</t>
  </si>
  <si>
    <t>mc_electricity</t>
  </si>
  <si>
    <t>other_electricity</t>
  </si>
  <si>
    <t>blue_sky</t>
  </si>
  <si>
    <t>scenario id</t>
  </si>
  <si>
    <t>scenario start time (P[YYYY]-[MM]-[DD]T[hh]:[mm]:[ss])</t>
  </si>
  <si>
    <t>elapsed (hours)</t>
  </si>
  <si>
    <t>mc_electricity:achieved (kW)</t>
  </si>
  <si>
    <t>mc_electricity:requested (kW)</t>
  </si>
  <si>
    <t>other_electricity:achieved (kW)</t>
  </si>
  <si>
    <t>other_electricity:requested (kW)</t>
  </si>
  <si>
    <t>utility_electricity_bus-inflow(0):achieved (kW)</t>
  </si>
  <si>
    <t>utility_electricity_bus-inflow(0):requested (kW)</t>
  </si>
  <si>
    <t>utility_electricity_bus-outflow(0):achieved (kW)</t>
  </si>
  <si>
    <t>utility_electricity_bus-outflow(0):requested (kW)</t>
  </si>
  <si>
    <t>utility_electricity_bus-outflow(1):achieved (kW)</t>
  </si>
  <si>
    <t>utility_electricity_bus-outflow(1):requested (kW)</t>
  </si>
  <si>
    <t>P0000-00-00T00:00:00</t>
  </si>
  <si>
    <t>number of occurrences</t>
  </si>
  <si>
    <t>total time in scenario (hours)</t>
  </si>
  <si>
    <t>component id</t>
  </si>
  <si>
    <t>type</t>
  </si>
  <si>
    <t>stream</t>
  </si>
  <si>
    <t>energy availability</t>
  </si>
  <si>
    <t>max downtime (hours)</t>
  </si>
  <si>
    <t>load not served (kJ)</t>
  </si>
  <si>
    <t>electricity energy used (kJ)</t>
  </si>
  <si>
    <t>utility_electricity_bus-inflow(0)</t>
  </si>
  <si>
    <t>muxer</t>
  </si>
  <si>
    <t>utility_electricity_bus-outflow(0)</t>
  </si>
  <si>
    <t>utility_electricity_bus-outflow(1)</t>
  </si>
  <si>
    <t>TOTAL (source)</t>
  </si>
  <si>
    <t>TOTAL (load)</t>
  </si>
  <si>
    <t>TOTAL (storage)</t>
  </si>
  <si>
    <t>TOTAL (waste)</t>
  </si>
  <si>
    <t>ENERGY BALANCE (source-(load+storage+waste))</t>
  </si>
  <si>
    <t>source2</t>
  </si>
  <si>
    <t>source2:achieved (kW)</t>
  </si>
  <si>
    <t>source2:requested (kW)</t>
  </si>
  <si>
    <t>mc_heating</t>
  </si>
  <si>
    <t>source1</t>
  </si>
  <si>
    <t>mc_heating:achieved (kW)</t>
  </si>
  <si>
    <t>mc_heating:requested (kW)</t>
  </si>
  <si>
    <t>source1:achieved (kW)</t>
  </si>
  <si>
    <t>source1:requested (kW)</t>
  </si>
  <si>
    <t>storage1-discharge:achieved (kW)</t>
  </si>
  <si>
    <t>storage1-discharge:requested (kW)</t>
  </si>
  <si>
    <t>storage1-inflow:achieved (kW)</t>
  </si>
  <si>
    <t>storage1-inflow:requested (kW)</t>
  </si>
  <si>
    <t>storage1-outflow:achieved (kW)</t>
  </si>
  <si>
    <t>storage1-outflow:requested (kW)</t>
  </si>
  <si>
    <t>storage1-storeflow:achieved (kW)</t>
  </si>
  <si>
    <t>storage1-storeflow:requested (kW)</t>
  </si>
  <si>
    <t>heating energy used (kJ)</t>
  </si>
  <si>
    <t>storage1-discharge</t>
  </si>
  <si>
    <t>storage</t>
  </si>
  <si>
    <t>storage1-inflow</t>
  </si>
  <si>
    <t>storage1-outflow</t>
  </si>
  <si>
    <t>storage1-storeflow</t>
  </si>
  <si>
    <t>steam</t>
  </si>
  <si>
    <t>coal</t>
  </si>
  <si>
    <t>biomass</t>
  </si>
  <si>
    <t>C:\My Projects\erin\build\bin\Release\erin_multi.exe</t>
  </si>
  <si>
    <t>ERIN PROGRAM:</t>
  </si>
  <si>
    <t>dist_type</t>
  </si>
  <si>
    <t>distribution types</t>
  </si>
  <si>
    <t>normal</t>
  </si>
  <si>
    <t>weibull</t>
  </si>
  <si>
    <t>quantile</t>
  </si>
  <si>
    <t>shape</t>
  </si>
  <si>
    <t>csv_file</t>
  </si>
  <si>
    <t>failure_dist</t>
  </si>
  <si>
    <t>repair_dist</t>
  </si>
  <si>
    <t>lower_bound_in_hours</t>
  </si>
  <si>
    <t>upper_bound_in_hours</t>
  </si>
  <si>
    <t>mean_in_hours</t>
  </si>
  <si>
    <t>standard_deviation_in_hours</t>
  </si>
  <si>
    <t>scale_in_hours</t>
  </si>
  <si>
    <t>location_in_hours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</si>
</sst>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sz val="12"/>
      <color rgb="FF3F3F76"/>
      <name val="Calibri"/>
      <family val="2"/>
      <scheme val="minor"/>
    </font>
    <font>
      <sz val="11"/>
      <color rgb="FF000000"/>
      <name val="Calibri"/>
      <family val="2"/>
      <scheme val="minor"/>
    </font>
    <font>
      <sz val="8"/>
      <name val="Calibri"/>
      <family val="2"/>
      <scheme val="minor"/>
    </font>
    <font>
      <sz val="8"/>
      <color rgb="FF000000"/>
      <name val="Calibri"/>
      <family val="2"/>
    </font>
    <font>
      <sz val="12"/>
      <color rgb="FF000000"/>
      <name val="Calibri"/>
      <family val="2"/>
    </font>
  </fonts>
  <fills count="3">
    <fill>
      <patternFill patternType="none"/>
    </fill>
    <fill>
      <patternFill patternType="gray125"/>
    </fill>
    <fill>
      <patternFill patternType="solid">
        <fgColor rgb="FFFFCC99"/>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0">
    <xf numFmtId="0" fontId="0" fillId="0" borderId="0"/>
    <xf numFmtId="0" fontId="17" fillId="0" borderId="0"/>
    <xf numFmtId="0" fontId="19" fillId="2" borderId="1" applyNumberFormat="0" applyAlignment="0" applyProtection="0"/>
    <xf numFmtId="0" fontId="16" fillId="0" borderId="0"/>
    <xf numFmtId="0" fontId="15" fillId="0" borderId="0"/>
    <xf numFmtId="0" fontId="14" fillId="0" borderId="0"/>
    <xf numFmtId="0" fontId="13" fillId="0" borderId="0"/>
    <xf numFmtId="0" fontId="12" fillId="0" borderId="0"/>
    <xf numFmtId="0" fontId="11" fillId="0" borderId="0"/>
    <xf numFmtId="0" fontId="10" fillId="0" borderId="0"/>
    <xf numFmtId="0" fontId="9" fillId="0" borderId="0"/>
    <xf numFmtId="0" fontId="8" fillId="0" borderId="0"/>
    <xf numFmtId="0" fontId="7" fillId="0" borderId="0"/>
    <xf numFmtId="0" fontId="6"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 fillId="0" borderId="0"/>
    <xf numFmtId="0" fontId="3" fillId="0" borderId="0"/>
    <xf numFmtId="0" fontId="2" fillId="0" borderId="0"/>
    <xf numFmtId="0" fontId="1" fillId="0" borderId="0"/>
  </cellStyleXfs>
  <cellXfs count="8">
    <xf numFmtId="0" fontId="0" fillId="0" borderId="0" xfId="0"/>
    <xf numFmtId="0" fontId="18" fillId="0" borderId="0" xfId="0" applyFont="1"/>
    <xf numFmtId="0" fontId="20" fillId="0" borderId="0" xfId="0" applyFont="1"/>
    <xf numFmtId="0" fontId="0" fillId="0" borderId="0" xfId="0"/>
    <xf numFmtId="0" fontId="18" fillId="0" borderId="0" xfId="0" applyFont="1"/>
    <xf numFmtId="0" fontId="4" fillId="0" borderId="0" xfId="26"/>
    <xf numFmtId="0" fontId="1" fillId="0" borderId="0" xfId="29"/>
    <xf numFmtId="11" fontId="1" fillId="0" borderId="0" xfId="29" applyNumberFormat="1"/>
  </cellXfs>
  <cellStyles count="30">
    <cellStyle name="Input 2" xfId="2" xr:uid="{C09289F3-8D70-4E11-80C2-A38AE4B4C572}"/>
    <cellStyle name="Normal" xfId="0" builtinId="0"/>
    <cellStyle name="Normal 10" xfId="10" xr:uid="{2A770C02-DCAE-4518-8AFA-599CB682686D}"/>
    <cellStyle name="Normal 10 2" xfId="23" xr:uid="{41876A46-F615-4A59-A05B-D2CA6A8E9F07}"/>
    <cellStyle name="Normal 11" xfId="11" xr:uid="{622E428C-58C4-4C61-8AC6-504EE4A7A323}"/>
    <cellStyle name="Normal 11 2" xfId="24" xr:uid="{A85D0FD8-23FA-4FDB-BE94-D662AFBB6424}"/>
    <cellStyle name="Normal 12" xfId="12" xr:uid="{188F5474-BAFC-41D2-9A78-4A328E9BAF11}"/>
    <cellStyle name="Normal 12 2" xfId="25" xr:uid="{01F2C827-510D-421A-8906-16D021EC882F}"/>
    <cellStyle name="Normal 13" xfId="13" xr:uid="{AE834CA9-EDBB-4995-A993-F60996200ABC}"/>
    <cellStyle name="Normal 14" xfId="14" xr:uid="{6F78034E-43BC-49B1-A9D7-A90DE739653E}"/>
    <cellStyle name="Normal 15" xfId="26" xr:uid="{F4C25700-652B-48A2-9FDC-8ACA51E9307D}"/>
    <cellStyle name="Normal 16" xfId="27" xr:uid="{5671EB07-A3AE-4BB8-8FDC-24AC6218775A}"/>
    <cellStyle name="Normal 17" xfId="28" xr:uid="{8462A921-5F76-47CE-8EA0-96E83D7A7E0D}"/>
    <cellStyle name="Normal 18" xfId="29" xr:uid="{992B77EB-C35B-42E1-AD96-4BBADED2C45D}"/>
    <cellStyle name="Normal 2" xfId="1" xr:uid="{4D922DCD-CD86-46C0-9F90-DC1F6A447F1A}"/>
    <cellStyle name="Normal 2 2" xfId="15" xr:uid="{D472E0B3-EE88-47C8-9BC6-BB1FB7353B18}"/>
    <cellStyle name="Normal 3" xfId="3" xr:uid="{9397C161-F4FB-45F1-BBC9-5C04567F1989}"/>
    <cellStyle name="Normal 3 2" xfId="16" xr:uid="{299B6CED-F85B-4A82-B710-8E77F486E0C6}"/>
    <cellStyle name="Normal 4" xfId="4" xr:uid="{4A5641CE-048A-4A97-B45E-4B2A88E758BC}"/>
    <cellStyle name="Normal 4 2" xfId="17" xr:uid="{D3E2807C-3922-4146-B504-FF0DBE4494BC}"/>
    <cellStyle name="Normal 5" xfId="5" xr:uid="{08E6D2A2-9817-4076-B294-AB02B649075A}"/>
    <cellStyle name="Normal 5 2" xfId="18" xr:uid="{5AA400F7-4F0C-47ED-A35A-EFD7C8893361}"/>
    <cellStyle name="Normal 6" xfId="6" xr:uid="{3D90F837-9B7A-47BC-84EC-99E36D016EA4}"/>
    <cellStyle name="Normal 6 2" xfId="19" xr:uid="{47F4BA6E-F7C1-429A-B677-11589F82F2A5}"/>
    <cellStyle name="Normal 7" xfId="7" xr:uid="{030BD311-CF07-4365-8FF8-4D3AC59ABF17}"/>
    <cellStyle name="Normal 7 2" xfId="20" xr:uid="{39F46981-B1E5-4DB5-8D37-884201C822A5}"/>
    <cellStyle name="Normal 8" xfId="8" xr:uid="{D593FFC4-AD0D-4332-B797-8D64208F9053}"/>
    <cellStyle name="Normal 8 2" xfId="21" xr:uid="{7063974F-A3D7-40B9-89ED-8CF93B61DCC3}"/>
    <cellStyle name="Normal 9" xfId="9" xr:uid="{7D6995FC-A771-49C0-A793-C0132189E6A7}"/>
    <cellStyle name="Normal 9 2" xfId="22" xr:uid="{CCCA1107-EA5F-4588-B1A2-0B5574E9F2C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4" Type="http://schemas.openxmlformats.org/officeDocument/2006/relationships/image" Target="../media/image6.sv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svg"/><Relationship Id="rId1" Type="http://schemas.openxmlformats.org/officeDocument/2006/relationships/image" Target="../media/image3.png"/><Relationship Id="rId4" Type="http://schemas.openxmlformats.org/officeDocument/2006/relationships/image" Target="../media/image6.sv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svg"/><Relationship Id="rId1" Type="http://schemas.openxmlformats.org/officeDocument/2006/relationships/image" Target="../media/image3.png"/><Relationship Id="rId4" Type="http://schemas.openxmlformats.org/officeDocument/2006/relationships/image" Target="../media/image6.svg"/></Relationships>
</file>

<file path=xl/drawings/drawing1.xml><?xml version="1.0" encoding="utf-8"?>
<xdr:wsDr xmlns:xdr="http://schemas.openxmlformats.org/drawingml/2006/spreadsheetDrawing" xmlns:a="http://schemas.openxmlformats.org/drawingml/2006/main">
  <xdr:twoCellAnchor editAs="oneCell">
    <xdr:from>
      <xdr:col>7</xdr:col>
      <xdr:colOff>428625</xdr:colOff>
      <xdr:row>0</xdr:row>
      <xdr:rowOff>190500</xdr:rowOff>
    </xdr:from>
    <xdr:to>
      <xdr:col>14</xdr:col>
      <xdr:colOff>396875</xdr:colOff>
      <xdr:row>20</xdr:row>
      <xdr:rowOff>154093</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a:stretch>
          <a:fillRect/>
        </a:stretch>
      </xdr:blipFill>
      <xdr:spPr>
        <a:xfrm>
          <a:off x="6651625" y="190500"/>
          <a:ext cx="6191250" cy="3932343"/>
        </a:xfrm>
        <a:prstGeom prst="rect">
          <a:avLst/>
        </a:prstGeom>
      </xdr:spPr>
    </xdr:pic>
    <xdr:clientData/>
  </xdr:twoCellAnchor>
  <xdr:twoCellAnchor editAs="oneCell">
    <xdr:from>
      <xdr:col>0</xdr:col>
      <xdr:colOff>277812</xdr:colOff>
      <xdr:row>0</xdr:row>
      <xdr:rowOff>190500</xdr:rowOff>
    </xdr:from>
    <xdr:to>
      <xdr:col>7</xdr:col>
      <xdr:colOff>238125</xdr:colOff>
      <xdr:row>20</xdr:row>
      <xdr:rowOff>149052</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stretch>
          <a:fillRect/>
        </a:stretch>
      </xdr:blipFill>
      <xdr:spPr>
        <a:xfrm>
          <a:off x="277812" y="190500"/>
          <a:ext cx="6183313" cy="392730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314325</xdr:colOff>
          <xdr:row>12</xdr:row>
          <xdr:rowOff>28575</xdr:rowOff>
        </xdr:from>
        <xdr:to>
          <xdr:col>2</xdr:col>
          <xdr:colOff>676275</xdr:colOff>
          <xdr:row>13</xdr:row>
          <xdr:rowOff>104775</xdr:rowOff>
        </xdr:to>
        <xdr:sp macro="" textlink="">
          <xdr:nvSpPr>
            <xdr:cNvPr id="77825" name="Button 1" hidden="1">
              <a:extLst>
                <a:ext uri="{63B3BB69-23CF-44E3-9099-C40C66FF867C}">
                  <a14:compatExt spid="_x0000_s77825"/>
                </a:ext>
                <a:ext uri="{FF2B5EF4-FFF2-40B4-BE49-F238E27FC236}">
                  <a16:creationId xmlns:a16="http://schemas.microsoft.com/office/drawing/2014/main" id="{00000000-0008-0000-0100-000001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Add Failure Mode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314325</xdr:colOff>
          <xdr:row>13</xdr:row>
          <xdr:rowOff>180975</xdr:rowOff>
        </xdr:from>
        <xdr:to>
          <xdr:col>2</xdr:col>
          <xdr:colOff>666750</xdr:colOff>
          <xdr:row>15</xdr:row>
          <xdr:rowOff>57150</xdr:rowOff>
        </xdr:to>
        <xdr:sp macro="" textlink="">
          <xdr:nvSpPr>
            <xdr:cNvPr id="77826" name="Button 2" hidden="1">
              <a:extLst>
                <a:ext uri="{63B3BB69-23CF-44E3-9099-C40C66FF867C}">
                  <a14:compatExt spid="_x0000_s77826"/>
                </a:ext>
                <a:ext uri="{FF2B5EF4-FFF2-40B4-BE49-F238E27FC236}">
                  <a16:creationId xmlns:a16="http://schemas.microsoft.com/office/drawing/2014/main" id="{00000000-0008-0000-0100-000002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Add Fragility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76200</xdr:rowOff>
        </xdr:from>
        <xdr:to>
          <xdr:col>3</xdr:col>
          <xdr:colOff>0</xdr:colOff>
          <xdr:row>11</xdr:row>
          <xdr:rowOff>152400</xdr:rowOff>
        </xdr:to>
        <xdr:sp macro="" textlink="">
          <xdr:nvSpPr>
            <xdr:cNvPr id="77827" name="Button 3" hidden="1">
              <a:extLst>
                <a:ext uri="{63B3BB69-23CF-44E3-9099-C40C66FF867C}">
                  <a14:compatExt spid="_x0000_s77827"/>
                </a:ext>
                <a:ext uri="{FF2B5EF4-FFF2-40B4-BE49-F238E27FC236}">
                  <a16:creationId xmlns:a16="http://schemas.microsoft.com/office/drawing/2014/main" id="{00000000-0008-0000-0100-000003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Add Statistical Distribution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xdr:col>
      <xdr:colOff>542925</xdr:colOff>
      <xdr:row>0</xdr:row>
      <xdr:rowOff>47625</xdr:rowOff>
    </xdr:from>
    <xdr:to>
      <xdr:col>1</xdr:col>
      <xdr:colOff>1000125</xdr:colOff>
      <xdr:row>1</xdr:row>
      <xdr:rowOff>238125</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819150" y="47625"/>
          <a:ext cx="457200" cy="457200"/>
          <a:chOff x="2486025" y="123825"/>
          <a:chExt cx="457200" cy="457200"/>
        </a:xfr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xdr:grpSpPr>
      <mc:AlternateContent xmlns:mc="http://schemas.openxmlformats.org/markup-compatibility/2006">
        <mc:Choice xmlns:a14="http://schemas.microsoft.com/office/drawing/2010/main" Requires="a14">
          <xdr:sp macro="" textlink="">
            <xdr:nvSpPr>
              <xdr:cNvPr id="44084" name="Button 1705" hidden="1">
                <a:extLst>
                  <a:ext uri="{63B3BB69-23CF-44E3-9099-C40C66FF867C}">
                    <a14:compatExt spid="_x0000_s44084"/>
                  </a:ext>
                  <a:ext uri="{FF2B5EF4-FFF2-40B4-BE49-F238E27FC236}">
                    <a16:creationId xmlns:a16="http://schemas.microsoft.com/office/drawing/2014/main" id="{00000000-0008-0000-0200-000034AC0000}"/>
                  </a:ext>
                </a:extLst>
              </xdr:cNvPr>
              <xdr:cNvSpPr/>
            </xdr:nvSpPr>
            <xdr:spPr bwMode="auto">
              <a:xfrm>
                <a:off x="2486025"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Remove</a:t>
                </a:r>
              </a:p>
            </xdr:txBody>
          </xdr:sp>
        </mc:Choice>
        <mc:Fallback/>
      </mc:AlternateContent>
      <xdr:sp macro="[0]!DoNothing" textlink="">
        <xdr:nvSpPr>
          <xdr:cNvPr id="25" name="Minus Sign 24">
            <a:extLst>
              <a:ext uri="{FF2B5EF4-FFF2-40B4-BE49-F238E27FC236}">
                <a16:creationId xmlns:a16="http://schemas.microsoft.com/office/drawing/2014/main" id="{00000000-0008-0000-0200-000019000000}"/>
              </a:ext>
            </a:extLst>
          </xdr:cNvPr>
          <xdr:cNvSpPr/>
        </xdr:nvSpPr>
        <xdr:spPr>
          <a:xfrm>
            <a:off x="2628900" y="200025"/>
            <a:ext cx="182880" cy="182880"/>
          </a:xfrm>
          <a:prstGeom prst="mathMinus">
            <a:avLst/>
          </a:prstGeom>
          <a:grp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19050</xdr:colOff>
          <xdr:row>3</xdr:row>
          <xdr:rowOff>9525</xdr:rowOff>
        </xdr:to>
        <xdr:sp macro="" textlink="">
          <xdr:nvSpPr>
            <xdr:cNvPr id="44069" name="Select All" hidden="1">
              <a:extLst>
                <a:ext uri="{63B3BB69-23CF-44E3-9099-C40C66FF867C}">
                  <a14:compatExt spid="_x0000_s44069"/>
                </a:ext>
                <a:ext uri="{FF2B5EF4-FFF2-40B4-BE49-F238E27FC236}">
                  <a16:creationId xmlns:a16="http://schemas.microsoft.com/office/drawing/2014/main" id="{00000000-0008-0000-0200-000025A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absolute">
    <xdr:from>
      <xdr:col>1</xdr:col>
      <xdr:colOff>19050</xdr:colOff>
      <xdr:row>0</xdr:row>
      <xdr:rowOff>47625</xdr:rowOff>
    </xdr:from>
    <xdr:to>
      <xdr:col>1</xdr:col>
      <xdr:colOff>476250</xdr:colOff>
      <xdr:row>1</xdr:row>
      <xdr:rowOff>238125</xdr:rowOff>
    </xdr:to>
    <xdr:grpSp>
      <xdr:nvGrpSpPr>
        <xdr:cNvPr id="17" name="add_group">
          <a:extLst>
            <a:ext uri="{FF2B5EF4-FFF2-40B4-BE49-F238E27FC236}">
              <a16:creationId xmlns:a16="http://schemas.microsoft.com/office/drawing/2014/main" id="{00000000-0008-0000-0200-000011000000}"/>
            </a:ext>
          </a:extLst>
        </xdr:cNvPr>
        <xdr:cNvGrpSpPr/>
      </xdr:nvGrpSpPr>
      <xdr:grpSpPr>
        <a:xfrm>
          <a:off x="295275" y="47625"/>
          <a:ext cx="457200" cy="457200"/>
          <a:chOff x="1990723" y="123825"/>
          <a:chExt cx="457200" cy="457200"/>
        </a:xfrm>
      </xdr:grpSpPr>
      <mc:AlternateContent xmlns:mc="http://schemas.openxmlformats.org/markup-compatibility/2006">
        <mc:Choice xmlns:a14="http://schemas.microsoft.com/office/drawing/2010/main" Requires="a14">
          <xdr:sp macro="" textlink="">
            <xdr:nvSpPr>
              <xdr:cNvPr id="44082" name="Button 1603" hidden="1">
                <a:extLst>
                  <a:ext uri="{63B3BB69-23CF-44E3-9099-C40C66FF867C}">
                    <a14:compatExt spid="_x0000_s44082"/>
                  </a:ext>
                  <a:ext uri="{FF2B5EF4-FFF2-40B4-BE49-F238E27FC236}">
                    <a16:creationId xmlns:a16="http://schemas.microsoft.com/office/drawing/2014/main" id="{00000000-0008-0000-0200-000032AC0000}"/>
                  </a:ext>
                </a:extLst>
              </xdr:cNvPr>
              <xdr:cNvSpPr/>
            </xdr:nvSpPr>
            <xdr:spPr bwMode="auto">
              <a:xfrm>
                <a:off x="1990723"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Add</a:t>
                </a:r>
              </a:p>
            </xdr:txBody>
          </xdr:sp>
        </mc:Choice>
        <mc:Fallback/>
      </mc:AlternateContent>
      <xdr:sp macro="[0]!AddComponent" textlink="">
        <xdr:nvSpPr>
          <xdr:cNvPr id="19" name="Plus Sign 18">
            <a:extLst>
              <a:ext uri="{FF2B5EF4-FFF2-40B4-BE49-F238E27FC236}">
                <a16:creationId xmlns:a16="http://schemas.microsoft.com/office/drawing/2014/main" id="{00000000-0008-0000-0200-000013000000}"/>
              </a:ext>
            </a:extLst>
          </xdr:cNvPr>
          <xdr:cNvSpPr/>
        </xdr:nvSpPr>
        <xdr:spPr>
          <a:xfrm>
            <a:off x="2133600" y="209549"/>
            <a:ext cx="182880" cy="182880"/>
          </a:xfrm>
          <a:prstGeom prst="mathPlus">
            <a:avLst/>
          </a:prstGeom>
          <a:solidFill>
            <a:srgbClr val="0070C0"/>
          </a:solidFill>
          <a:ln>
            <a:noFill/>
          </a:ln>
          <a:effectLst>
            <a:glow>
              <a:schemeClr val="accent1"/>
            </a:glow>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800"/>
          </a:p>
        </xdr:txBody>
      </xdr:sp>
    </xdr:grpSp>
    <xdr:clientData/>
  </xdr:twoCellAnchor>
  <xdr:twoCellAnchor editAs="absolute">
    <xdr:from>
      <xdr:col>1</xdr:col>
      <xdr:colOff>542925</xdr:colOff>
      <xdr:row>0</xdr:row>
      <xdr:rowOff>47625</xdr:rowOff>
    </xdr:from>
    <xdr:to>
      <xdr:col>1</xdr:col>
      <xdr:colOff>1000125</xdr:colOff>
      <xdr:row>1</xdr:row>
      <xdr:rowOff>238125</xdr:rowOff>
    </xdr:to>
    <xdr:grpSp>
      <xdr:nvGrpSpPr>
        <xdr:cNvPr id="20" name="remove_group" hidden="1">
          <a:extLst>
            <a:ext uri="{FF2B5EF4-FFF2-40B4-BE49-F238E27FC236}">
              <a16:creationId xmlns:a16="http://schemas.microsoft.com/office/drawing/2014/main" id="{00000000-0008-0000-0200-000014000000}"/>
            </a:ext>
          </a:extLst>
        </xdr:cNvPr>
        <xdr:cNvGrpSpPr/>
      </xdr:nvGrpSpPr>
      <xdr:grpSpPr>
        <a:xfrm>
          <a:off x="819150" y="47625"/>
          <a:ext cx="457200" cy="457200"/>
          <a:chOff x="2486025" y="123825"/>
          <a:chExt cx="457200" cy="457200"/>
        </a:xfrm>
      </xdr:grpSpPr>
      <mc:AlternateContent xmlns:mc="http://schemas.openxmlformats.org/markup-compatibility/2006">
        <mc:Choice xmlns:a14="http://schemas.microsoft.com/office/drawing/2010/main" Requires="a14">
          <xdr:sp macro="" textlink="">
            <xdr:nvSpPr>
              <xdr:cNvPr id="44083" name="Button 1549" hidden="1">
                <a:extLst>
                  <a:ext uri="{63B3BB69-23CF-44E3-9099-C40C66FF867C}">
                    <a14:compatExt spid="_x0000_s44083"/>
                  </a:ext>
                  <a:ext uri="{FF2B5EF4-FFF2-40B4-BE49-F238E27FC236}">
                    <a16:creationId xmlns:a16="http://schemas.microsoft.com/office/drawing/2014/main" id="{00000000-0008-0000-0200-000033AC0000}"/>
                  </a:ext>
                </a:extLst>
              </xdr:cNvPr>
              <xdr:cNvSpPr/>
            </xdr:nvSpPr>
            <xdr:spPr bwMode="auto">
              <a:xfrm>
                <a:off x="2486025"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Remove</a:t>
                </a:r>
              </a:p>
            </xdr:txBody>
          </xdr:sp>
        </mc:Choice>
        <mc:Fallback/>
      </mc:AlternateContent>
      <xdr:sp macro="[0]!DeleteCheckboxandRow" textlink="">
        <xdr:nvSpPr>
          <xdr:cNvPr id="22" name="Minus Sign 21" hidden="1">
            <a:extLst>
              <a:ext uri="{FF2B5EF4-FFF2-40B4-BE49-F238E27FC236}">
                <a16:creationId xmlns:a16="http://schemas.microsoft.com/office/drawing/2014/main" id="{00000000-0008-0000-0200-000016000000}"/>
              </a:ext>
            </a:extLst>
          </xdr:cNvPr>
          <xdr:cNvSpPr/>
        </xdr:nvSpPr>
        <xdr:spPr>
          <a:xfrm>
            <a:off x="2628900" y="200025"/>
            <a:ext cx="182880" cy="182880"/>
          </a:xfrm>
          <a:prstGeom prst="mathMinus">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800"/>
          </a:p>
        </xdr:txBody>
      </xdr:sp>
    </xdr:grpSp>
    <xdr:clientData/>
  </xdr:twoCellAnchor>
  <xdr:twoCellAnchor>
    <xdr:from>
      <xdr:col>1</xdr:col>
      <xdr:colOff>1066800</xdr:colOff>
      <xdr:row>0</xdr:row>
      <xdr:rowOff>47625</xdr:rowOff>
    </xdr:from>
    <xdr:to>
      <xdr:col>1</xdr:col>
      <xdr:colOff>1524000</xdr:colOff>
      <xdr:row>1</xdr:row>
      <xdr:rowOff>238125</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1343025" y="47625"/>
          <a:ext cx="457200" cy="457200"/>
          <a:chOff x="1609725" y="47625"/>
          <a:chExt cx="457200" cy="457200"/>
        </a:xfrm>
      </xdr:grpSpPr>
      <mc:AlternateContent xmlns:mc="http://schemas.openxmlformats.org/markup-compatibility/2006">
        <mc:Choice xmlns:a14="http://schemas.microsoft.com/office/drawing/2010/main" Requires="a14">
          <xdr:sp macro="" textlink="">
            <xdr:nvSpPr>
              <xdr:cNvPr id="44086" name="Button 1705" hidden="1">
                <a:extLst>
                  <a:ext uri="{63B3BB69-23CF-44E3-9099-C40C66FF867C}">
                    <a14:compatExt spid="_x0000_s44086"/>
                  </a:ext>
                  <a:ext uri="{FF2B5EF4-FFF2-40B4-BE49-F238E27FC236}">
                    <a16:creationId xmlns:a16="http://schemas.microsoft.com/office/drawing/2014/main" id="{00000000-0008-0000-0200-000036AC0000}"/>
                  </a:ext>
                </a:extLst>
              </xdr:cNvPr>
              <xdr:cNvSpPr/>
            </xdr:nvSpPr>
            <xdr:spPr bwMode="auto">
              <a:xfrm>
                <a:off x="1609725" y="476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Edit</a:t>
                </a:r>
              </a:p>
            </xdr:txBody>
          </xdr:sp>
        </mc:Choice>
        <mc:Fallback/>
      </mc:AlternateContent>
      <xdr:pic macro="[0]!DoNothing">
        <xdr:nvPicPr>
          <xdr:cNvPr id="3" name="Graphic 2" descr="Pencil">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762125" y="152401"/>
            <a:ext cx="182880" cy="182880"/>
          </a:xfrm>
          <a:prstGeom prst="rect">
            <a:avLst/>
          </a:prstGeom>
        </xdr:spPr>
      </xdr:pic>
    </xdr:grpSp>
    <xdr:clientData/>
  </xdr:twoCellAnchor>
  <xdr:twoCellAnchor>
    <xdr:from>
      <xdr:col>1</xdr:col>
      <xdr:colOff>1066800</xdr:colOff>
      <xdr:row>0</xdr:row>
      <xdr:rowOff>47625</xdr:rowOff>
    </xdr:from>
    <xdr:to>
      <xdr:col>1</xdr:col>
      <xdr:colOff>1524000</xdr:colOff>
      <xdr:row>1</xdr:row>
      <xdr:rowOff>238125</xdr:rowOff>
    </xdr:to>
    <xdr:grpSp>
      <xdr:nvGrpSpPr>
        <xdr:cNvPr id="4" name="edit_group" hidden="1">
          <a:extLst>
            <a:ext uri="{FF2B5EF4-FFF2-40B4-BE49-F238E27FC236}">
              <a16:creationId xmlns:a16="http://schemas.microsoft.com/office/drawing/2014/main" id="{00000000-0008-0000-0200-000004000000}"/>
            </a:ext>
          </a:extLst>
        </xdr:cNvPr>
        <xdr:cNvGrpSpPr/>
      </xdr:nvGrpSpPr>
      <xdr:grpSpPr>
        <a:xfrm>
          <a:off x="1343025" y="47625"/>
          <a:ext cx="457200" cy="457200"/>
          <a:chOff x="2438400" y="1419225"/>
          <a:chExt cx="457200" cy="457200"/>
        </a:xfrm>
      </xdr:grpSpPr>
      <mc:AlternateContent xmlns:mc="http://schemas.openxmlformats.org/markup-compatibility/2006">
        <mc:Choice xmlns:a14="http://schemas.microsoft.com/office/drawing/2010/main" Requires="a14">
          <xdr:sp macro="" textlink="">
            <xdr:nvSpPr>
              <xdr:cNvPr id="44087" name="Button 55" hidden="1">
                <a:extLst>
                  <a:ext uri="{63B3BB69-23CF-44E3-9099-C40C66FF867C}">
                    <a14:compatExt spid="_x0000_s44087"/>
                  </a:ext>
                  <a:ext uri="{FF2B5EF4-FFF2-40B4-BE49-F238E27FC236}">
                    <a16:creationId xmlns:a16="http://schemas.microsoft.com/office/drawing/2014/main" id="{00000000-0008-0000-0200-000037AC0000}"/>
                  </a:ext>
                </a:extLst>
              </xdr:cNvPr>
              <xdr:cNvSpPr/>
            </xdr:nvSpPr>
            <xdr:spPr bwMode="auto">
              <a:xfrm>
                <a:off x="2438400" y="14192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Edit</a:t>
                </a:r>
              </a:p>
            </xdr:txBody>
          </xdr:sp>
        </mc:Choice>
        <mc:Fallback/>
      </mc:AlternateContent>
      <xdr:pic macro="[0]!EditItem">
        <xdr:nvPicPr>
          <xdr:cNvPr id="18" name="Graphic 17" descr="Pencil" hidden="1">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581275" y="1514476"/>
            <a:ext cx="182880" cy="182880"/>
          </a:xfrm>
          <a:prstGeom prst="rect">
            <a:avLst/>
          </a:prstGeom>
          <a:scene3d>
            <a:camera prst="orthographicFront"/>
            <a:lightRig rig="threePt" dir="t"/>
          </a:scene3d>
          <a:sp3d>
            <a:bevelT w="0" h="0"/>
          </a:sp3d>
        </xdr:spPr>
      </xdr:pic>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542925</xdr:colOff>
      <xdr:row>0</xdr:row>
      <xdr:rowOff>47625</xdr:rowOff>
    </xdr:from>
    <xdr:to>
      <xdr:col>1</xdr:col>
      <xdr:colOff>1000125</xdr:colOff>
      <xdr:row>1</xdr:row>
      <xdr:rowOff>238125</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819150" y="47625"/>
          <a:ext cx="457200" cy="457200"/>
          <a:chOff x="2486025" y="123825"/>
          <a:chExt cx="457200" cy="457200"/>
        </a:xfr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xdr:grpSpPr>
      <mc:AlternateContent xmlns:mc="http://schemas.openxmlformats.org/markup-compatibility/2006">
        <mc:Choice xmlns:a14="http://schemas.microsoft.com/office/drawing/2010/main" Requires="a14">
          <xdr:sp macro="" textlink="">
            <xdr:nvSpPr>
              <xdr:cNvPr id="46100" name="Button 1705" hidden="1">
                <a:extLst>
                  <a:ext uri="{63B3BB69-23CF-44E3-9099-C40C66FF867C}">
                    <a14:compatExt spid="_x0000_s46100"/>
                  </a:ext>
                  <a:ext uri="{FF2B5EF4-FFF2-40B4-BE49-F238E27FC236}">
                    <a16:creationId xmlns:a16="http://schemas.microsoft.com/office/drawing/2014/main" id="{00000000-0008-0000-0300-000014B40000}"/>
                  </a:ext>
                </a:extLst>
              </xdr:cNvPr>
              <xdr:cNvSpPr/>
            </xdr:nvSpPr>
            <xdr:spPr bwMode="auto">
              <a:xfrm>
                <a:off x="2486025"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Remove</a:t>
                </a:r>
              </a:p>
            </xdr:txBody>
          </xdr:sp>
        </mc:Choice>
        <mc:Fallback/>
      </mc:AlternateContent>
      <xdr:sp macro="" textlink="">
        <xdr:nvSpPr>
          <xdr:cNvPr id="19" name="Minus Sign 18">
            <a:extLst>
              <a:ext uri="{FF2B5EF4-FFF2-40B4-BE49-F238E27FC236}">
                <a16:creationId xmlns:a16="http://schemas.microsoft.com/office/drawing/2014/main" id="{00000000-0008-0000-0300-000013000000}"/>
              </a:ext>
            </a:extLst>
          </xdr:cNvPr>
          <xdr:cNvSpPr/>
        </xdr:nvSpPr>
        <xdr:spPr>
          <a:xfrm>
            <a:off x="2628900" y="200025"/>
            <a:ext cx="182880" cy="182880"/>
          </a:xfrm>
          <a:prstGeom prst="mathMinus">
            <a:avLst/>
          </a:prstGeom>
          <a:grp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19050</xdr:colOff>
          <xdr:row>3</xdr:row>
          <xdr:rowOff>9525</xdr:rowOff>
        </xdr:to>
        <xdr:sp macro="" textlink="">
          <xdr:nvSpPr>
            <xdr:cNvPr id="46091" name="Select All" hidden="1">
              <a:extLst>
                <a:ext uri="{63B3BB69-23CF-44E3-9099-C40C66FF867C}">
                  <a14:compatExt spid="_x0000_s46091"/>
                </a:ext>
                <a:ext uri="{FF2B5EF4-FFF2-40B4-BE49-F238E27FC236}">
                  <a16:creationId xmlns:a16="http://schemas.microsoft.com/office/drawing/2014/main" id="{00000000-0008-0000-0300-00000B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absolute">
    <xdr:from>
      <xdr:col>1</xdr:col>
      <xdr:colOff>19050</xdr:colOff>
      <xdr:row>0</xdr:row>
      <xdr:rowOff>47625</xdr:rowOff>
    </xdr:from>
    <xdr:to>
      <xdr:col>1</xdr:col>
      <xdr:colOff>476250</xdr:colOff>
      <xdr:row>1</xdr:row>
      <xdr:rowOff>238125</xdr:rowOff>
    </xdr:to>
    <xdr:grpSp>
      <xdr:nvGrpSpPr>
        <xdr:cNvPr id="11" name="add_group">
          <a:extLst>
            <a:ext uri="{FF2B5EF4-FFF2-40B4-BE49-F238E27FC236}">
              <a16:creationId xmlns:a16="http://schemas.microsoft.com/office/drawing/2014/main" id="{00000000-0008-0000-0300-00000B000000}"/>
            </a:ext>
          </a:extLst>
        </xdr:cNvPr>
        <xdr:cNvGrpSpPr/>
      </xdr:nvGrpSpPr>
      <xdr:grpSpPr>
        <a:xfrm>
          <a:off x="295275" y="47625"/>
          <a:ext cx="457200" cy="457200"/>
          <a:chOff x="1990723" y="123825"/>
          <a:chExt cx="457200" cy="457200"/>
        </a:xfrm>
      </xdr:grpSpPr>
      <mc:AlternateContent xmlns:mc="http://schemas.openxmlformats.org/markup-compatibility/2006">
        <mc:Choice xmlns:a14="http://schemas.microsoft.com/office/drawing/2010/main" Requires="a14">
          <xdr:sp macro="" textlink="">
            <xdr:nvSpPr>
              <xdr:cNvPr id="46098" name="Button 1603" hidden="1">
                <a:extLst>
                  <a:ext uri="{63B3BB69-23CF-44E3-9099-C40C66FF867C}">
                    <a14:compatExt spid="_x0000_s46098"/>
                  </a:ext>
                  <a:ext uri="{FF2B5EF4-FFF2-40B4-BE49-F238E27FC236}">
                    <a16:creationId xmlns:a16="http://schemas.microsoft.com/office/drawing/2014/main" id="{00000000-0008-0000-0300-000012B40000}"/>
                  </a:ext>
                </a:extLst>
              </xdr:cNvPr>
              <xdr:cNvSpPr/>
            </xdr:nvSpPr>
            <xdr:spPr bwMode="auto">
              <a:xfrm>
                <a:off x="1990723"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Add</a:t>
                </a:r>
              </a:p>
            </xdr:txBody>
          </xdr:sp>
        </mc:Choice>
        <mc:Fallback/>
      </mc:AlternateContent>
      <xdr:sp macro="[0]!AddNetworkLink" textlink="">
        <xdr:nvSpPr>
          <xdr:cNvPr id="13" name="Plus Sign 12">
            <a:extLst>
              <a:ext uri="{FF2B5EF4-FFF2-40B4-BE49-F238E27FC236}">
                <a16:creationId xmlns:a16="http://schemas.microsoft.com/office/drawing/2014/main" id="{00000000-0008-0000-0300-00000D000000}"/>
              </a:ext>
            </a:extLst>
          </xdr:cNvPr>
          <xdr:cNvSpPr/>
        </xdr:nvSpPr>
        <xdr:spPr>
          <a:xfrm>
            <a:off x="2133600" y="209549"/>
            <a:ext cx="182880" cy="182880"/>
          </a:xfrm>
          <a:prstGeom prst="mathPlus">
            <a:avLst/>
          </a:prstGeom>
          <a:solidFill>
            <a:srgbClr val="0070C0"/>
          </a:solidFill>
          <a:ln>
            <a:noFill/>
          </a:ln>
          <a:effectLst>
            <a:glow>
              <a:schemeClr val="accent1"/>
            </a:glow>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800"/>
          </a:p>
        </xdr:txBody>
      </xdr:sp>
    </xdr:grpSp>
    <xdr:clientData/>
  </xdr:twoCellAnchor>
  <xdr:twoCellAnchor editAs="absolute">
    <xdr:from>
      <xdr:col>1</xdr:col>
      <xdr:colOff>542925</xdr:colOff>
      <xdr:row>0</xdr:row>
      <xdr:rowOff>47625</xdr:rowOff>
    </xdr:from>
    <xdr:to>
      <xdr:col>1</xdr:col>
      <xdr:colOff>1000125</xdr:colOff>
      <xdr:row>1</xdr:row>
      <xdr:rowOff>238125</xdr:rowOff>
    </xdr:to>
    <xdr:grpSp>
      <xdr:nvGrpSpPr>
        <xdr:cNvPr id="14" name="remove_group" hidden="1">
          <a:extLst>
            <a:ext uri="{FF2B5EF4-FFF2-40B4-BE49-F238E27FC236}">
              <a16:creationId xmlns:a16="http://schemas.microsoft.com/office/drawing/2014/main" id="{00000000-0008-0000-0300-00000E000000}"/>
            </a:ext>
          </a:extLst>
        </xdr:cNvPr>
        <xdr:cNvGrpSpPr/>
      </xdr:nvGrpSpPr>
      <xdr:grpSpPr>
        <a:xfrm>
          <a:off x="819150" y="47625"/>
          <a:ext cx="457200" cy="457200"/>
          <a:chOff x="2486025" y="123825"/>
          <a:chExt cx="457200" cy="457200"/>
        </a:xfrm>
      </xdr:grpSpPr>
      <mc:AlternateContent xmlns:mc="http://schemas.openxmlformats.org/markup-compatibility/2006">
        <mc:Choice xmlns:a14="http://schemas.microsoft.com/office/drawing/2010/main" Requires="a14">
          <xdr:sp macro="" textlink="">
            <xdr:nvSpPr>
              <xdr:cNvPr id="46099" name="Button 1549" hidden="1">
                <a:extLst>
                  <a:ext uri="{63B3BB69-23CF-44E3-9099-C40C66FF867C}">
                    <a14:compatExt spid="_x0000_s46099"/>
                  </a:ext>
                  <a:ext uri="{FF2B5EF4-FFF2-40B4-BE49-F238E27FC236}">
                    <a16:creationId xmlns:a16="http://schemas.microsoft.com/office/drawing/2014/main" id="{00000000-0008-0000-0300-000013B40000}"/>
                  </a:ext>
                </a:extLst>
              </xdr:cNvPr>
              <xdr:cNvSpPr/>
            </xdr:nvSpPr>
            <xdr:spPr bwMode="auto">
              <a:xfrm>
                <a:off x="2486025"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Remove</a:t>
                </a:r>
              </a:p>
            </xdr:txBody>
          </xdr:sp>
        </mc:Choice>
        <mc:Fallback/>
      </mc:AlternateContent>
      <xdr:sp macro="[0]!DeleteCheckboxandRow" textlink="">
        <xdr:nvSpPr>
          <xdr:cNvPr id="16" name="Minus Sign 15" hidden="1">
            <a:extLst>
              <a:ext uri="{FF2B5EF4-FFF2-40B4-BE49-F238E27FC236}">
                <a16:creationId xmlns:a16="http://schemas.microsoft.com/office/drawing/2014/main" id="{00000000-0008-0000-0300-000010000000}"/>
              </a:ext>
            </a:extLst>
          </xdr:cNvPr>
          <xdr:cNvSpPr/>
        </xdr:nvSpPr>
        <xdr:spPr>
          <a:xfrm>
            <a:off x="2628900" y="200025"/>
            <a:ext cx="182880" cy="182880"/>
          </a:xfrm>
          <a:prstGeom prst="mathMinus">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800"/>
          </a:p>
        </xdr:txBody>
      </xdr:sp>
    </xdr:grpSp>
    <xdr:clientData/>
  </xdr:twoCellAnchor>
  <xdr:twoCellAnchor>
    <xdr:from>
      <xdr:col>1</xdr:col>
      <xdr:colOff>1066800</xdr:colOff>
      <xdr:row>0</xdr:row>
      <xdr:rowOff>47625</xdr:rowOff>
    </xdr:from>
    <xdr:to>
      <xdr:col>1</xdr:col>
      <xdr:colOff>1524000</xdr:colOff>
      <xdr:row>1</xdr:row>
      <xdr:rowOff>238125</xdr:rowOff>
    </xdr:to>
    <xdr:grpSp>
      <xdr:nvGrpSpPr>
        <xdr:cNvPr id="18" name="Group 17">
          <a:extLst>
            <a:ext uri="{FF2B5EF4-FFF2-40B4-BE49-F238E27FC236}">
              <a16:creationId xmlns:a16="http://schemas.microsoft.com/office/drawing/2014/main" id="{00000000-0008-0000-0300-000012000000}"/>
            </a:ext>
          </a:extLst>
        </xdr:cNvPr>
        <xdr:cNvGrpSpPr/>
      </xdr:nvGrpSpPr>
      <xdr:grpSpPr>
        <a:xfrm>
          <a:off x="1343025" y="47625"/>
          <a:ext cx="457200" cy="457200"/>
          <a:chOff x="1609725" y="47625"/>
          <a:chExt cx="457200" cy="457200"/>
        </a:xfrm>
      </xdr:grpSpPr>
      <mc:AlternateContent xmlns:mc="http://schemas.openxmlformats.org/markup-compatibility/2006">
        <mc:Choice xmlns:a14="http://schemas.microsoft.com/office/drawing/2010/main" Requires="a14">
          <xdr:sp macro="" textlink="">
            <xdr:nvSpPr>
              <xdr:cNvPr id="46102" name="Button 22" hidden="1">
                <a:extLst>
                  <a:ext uri="{63B3BB69-23CF-44E3-9099-C40C66FF867C}">
                    <a14:compatExt spid="_x0000_s46102"/>
                  </a:ext>
                  <a:ext uri="{FF2B5EF4-FFF2-40B4-BE49-F238E27FC236}">
                    <a16:creationId xmlns:a16="http://schemas.microsoft.com/office/drawing/2014/main" id="{00000000-0008-0000-0300-000016B40000}"/>
                  </a:ext>
                </a:extLst>
              </xdr:cNvPr>
              <xdr:cNvSpPr/>
            </xdr:nvSpPr>
            <xdr:spPr bwMode="auto">
              <a:xfrm>
                <a:off x="1609725" y="476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Edit</a:t>
                </a:r>
              </a:p>
            </xdr:txBody>
          </xdr:sp>
        </mc:Choice>
        <mc:Fallback/>
      </mc:AlternateContent>
      <xdr:pic macro="[0]!DoNothing">
        <xdr:nvPicPr>
          <xdr:cNvPr id="20" name="Graphic 19" descr="Pencil">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762125" y="152401"/>
            <a:ext cx="182880" cy="182880"/>
          </a:xfrm>
          <a:prstGeom prst="rect">
            <a:avLst/>
          </a:prstGeom>
        </xdr:spPr>
      </xdr:pic>
    </xdr:grpSp>
    <xdr:clientData/>
  </xdr:twoCellAnchor>
  <xdr:twoCellAnchor>
    <xdr:from>
      <xdr:col>1</xdr:col>
      <xdr:colOff>1066800</xdr:colOff>
      <xdr:row>0</xdr:row>
      <xdr:rowOff>47625</xdr:rowOff>
    </xdr:from>
    <xdr:to>
      <xdr:col>1</xdr:col>
      <xdr:colOff>1524000</xdr:colOff>
      <xdr:row>1</xdr:row>
      <xdr:rowOff>238125</xdr:rowOff>
    </xdr:to>
    <xdr:grpSp>
      <xdr:nvGrpSpPr>
        <xdr:cNvPr id="12" name="edit_group" hidden="1">
          <a:extLst>
            <a:ext uri="{FF2B5EF4-FFF2-40B4-BE49-F238E27FC236}">
              <a16:creationId xmlns:a16="http://schemas.microsoft.com/office/drawing/2014/main" id="{00000000-0008-0000-0300-00000C000000}"/>
            </a:ext>
          </a:extLst>
        </xdr:cNvPr>
        <xdr:cNvGrpSpPr/>
      </xdr:nvGrpSpPr>
      <xdr:grpSpPr>
        <a:xfrm>
          <a:off x="1343025" y="47625"/>
          <a:ext cx="457200" cy="457200"/>
          <a:chOff x="2438400" y="1419225"/>
          <a:chExt cx="457200" cy="457200"/>
        </a:xfrm>
      </xdr:grpSpPr>
      <mc:AlternateContent xmlns:mc="http://schemas.openxmlformats.org/markup-compatibility/2006">
        <mc:Choice xmlns:a14="http://schemas.microsoft.com/office/drawing/2010/main" Requires="a14">
          <xdr:sp macro="" textlink="">
            <xdr:nvSpPr>
              <xdr:cNvPr id="46101" name="Button 21" hidden="1">
                <a:extLst>
                  <a:ext uri="{63B3BB69-23CF-44E3-9099-C40C66FF867C}">
                    <a14:compatExt spid="_x0000_s46101"/>
                  </a:ext>
                  <a:ext uri="{FF2B5EF4-FFF2-40B4-BE49-F238E27FC236}">
                    <a16:creationId xmlns:a16="http://schemas.microsoft.com/office/drawing/2014/main" id="{00000000-0008-0000-0300-000015B40000}"/>
                  </a:ext>
                </a:extLst>
              </xdr:cNvPr>
              <xdr:cNvSpPr/>
            </xdr:nvSpPr>
            <xdr:spPr bwMode="auto">
              <a:xfrm>
                <a:off x="2438400" y="14192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Edit</a:t>
                </a:r>
              </a:p>
            </xdr:txBody>
          </xdr:sp>
        </mc:Choice>
        <mc:Fallback/>
      </mc:AlternateContent>
      <xdr:pic macro="[0]!EditItem">
        <xdr:nvPicPr>
          <xdr:cNvPr id="15" name="Graphic 14" descr="Pencil" hidden="1">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581275" y="1514476"/>
            <a:ext cx="182880" cy="182880"/>
          </a:xfrm>
          <a:prstGeom prst="rect">
            <a:avLst/>
          </a:prstGeom>
          <a:scene3d>
            <a:camera prst="orthographicFront"/>
            <a:lightRig rig="threePt" dir="t"/>
          </a:scene3d>
          <a:sp3d>
            <a:bevelT w="0" h="0"/>
          </a:sp3d>
        </xdr:spPr>
      </xdr:pic>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542925</xdr:colOff>
      <xdr:row>0</xdr:row>
      <xdr:rowOff>47625</xdr:rowOff>
    </xdr:from>
    <xdr:to>
      <xdr:col>1</xdr:col>
      <xdr:colOff>1000125</xdr:colOff>
      <xdr:row>1</xdr:row>
      <xdr:rowOff>238125</xdr:rowOff>
    </xdr:to>
    <xdr:grpSp>
      <xdr:nvGrpSpPr>
        <xdr:cNvPr id="18" name="Group 17">
          <a:extLst>
            <a:ext uri="{FF2B5EF4-FFF2-40B4-BE49-F238E27FC236}">
              <a16:creationId xmlns:a16="http://schemas.microsoft.com/office/drawing/2014/main" id="{00000000-0008-0000-0400-000012000000}"/>
            </a:ext>
          </a:extLst>
        </xdr:cNvPr>
        <xdr:cNvGrpSpPr/>
      </xdr:nvGrpSpPr>
      <xdr:grpSpPr>
        <a:xfrm>
          <a:off x="819150" y="47625"/>
          <a:ext cx="457200" cy="457200"/>
          <a:chOff x="2486025" y="123825"/>
          <a:chExt cx="457200" cy="457200"/>
        </a:xfr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xdr:grpSpPr>
      <mc:AlternateContent xmlns:mc="http://schemas.openxmlformats.org/markup-compatibility/2006">
        <mc:Choice xmlns:a14="http://schemas.microsoft.com/office/drawing/2010/main" Requires="a14">
          <xdr:sp macro="" textlink="">
            <xdr:nvSpPr>
              <xdr:cNvPr id="45100" name="Button 1705" hidden="1">
                <a:extLst>
                  <a:ext uri="{63B3BB69-23CF-44E3-9099-C40C66FF867C}">
                    <a14:compatExt spid="_x0000_s45100"/>
                  </a:ext>
                  <a:ext uri="{FF2B5EF4-FFF2-40B4-BE49-F238E27FC236}">
                    <a16:creationId xmlns:a16="http://schemas.microsoft.com/office/drawing/2014/main" id="{00000000-0008-0000-0400-00002CB00000}"/>
                  </a:ext>
                </a:extLst>
              </xdr:cNvPr>
              <xdr:cNvSpPr/>
            </xdr:nvSpPr>
            <xdr:spPr bwMode="auto">
              <a:xfrm>
                <a:off x="2486025"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Remove</a:t>
                </a:r>
              </a:p>
            </xdr:txBody>
          </xdr:sp>
        </mc:Choice>
        <mc:Fallback/>
      </mc:AlternateContent>
      <xdr:sp macro="" textlink="">
        <xdr:nvSpPr>
          <xdr:cNvPr id="20" name="Minus Sign 19">
            <a:extLst>
              <a:ext uri="{FF2B5EF4-FFF2-40B4-BE49-F238E27FC236}">
                <a16:creationId xmlns:a16="http://schemas.microsoft.com/office/drawing/2014/main" id="{00000000-0008-0000-0400-000014000000}"/>
              </a:ext>
            </a:extLst>
          </xdr:cNvPr>
          <xdr:cNvSpPr/>
        </xdr:nvSpPr>
        <xdr:spPr>
          <a:xfrm>
            <a:off x="2628900" y="200025"/>
            <a:ext cx="182880" cy="182880"/>
          </a:xfrm>
          <a:prstGeom prst="mathMinus">
            <a:avLst/>
          </a:prstGeom>
          <a:grp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19050</xdr:colOff>
          <xdr:row>3</xdr:row>
          <xdr:rowOff>9525</xdr:rowOff>
        </xdr:to>
        <xdr:sp macro="" textlink="">
          <xdr:nvSpPr>
            <xdr:cNvPr id="45082" name="Select All" hidden="1">
              <a:extLst>
                <a:ext uri="{63B3BB69-23CF-44E3-9099-C40C66FF867C}">
                  <a14:compatExt spid="_x0000_s45082"/>
                </a:ext>
                <a:ext uri="{FF2B5EF4-FFF2-40B4-BE49-F238E27FC236}">
                  <a16:creationId xmlns:a16="http://schemas.microsoft.com/office/drawing/2014/main" id="{00000000-0008-0000-0400-00001AB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absolute">
    <xdr:from>
      <xdr:col>1</xdr:col>
      <xdr:colOff>19050</xdr:colOff>
      <xdr:row>0</xdr:row>
      <xdr:rowOff>47625</xdr:rowOff>
    </xdr:from>
    <xdr:to>
      <xdr:col>1</xdr:col>
      <xdr:colOff>476250</xdr:colOff>
      <xdr:row>1</xdr:row>
      <xdr:rowOff>238125</xdr:rowOff>
    </xdr:to>
    <xdr:grpSp>
      <xdr:nvGrpSpPr>
        <xdr:cNvPr id="9" name="add_group">
          <a:extLst>
            <a:ext uri="{FF2B5EF4-FFF2-40B4-BE49-F238E27FC236}">
              <a16:creationId xmlns:a16="http://schemas.microsoft.com/office/drawing/2014/main" id="{00000000-0008-0000-0400-000009000000}"/>
            </a:ext>
          </a:extLst>
        </xdr:cNvPr>
        <xdr:cNvGrpSpPr/>
      </xdr:nvGrpSpPr>
      <xdr:grpSpPr>
        <a:xfrm>
          <a:off x="295275" y="47625"/>
          <a:ext cx="457200" cy="457200"/>
          <a:chOff x="1990723" y="123825"/>
          <a:chExt cx="457200" cy="457200"/>
        </a:xfrm>
      </xdr:grpSpPr>
      <mc:AlternateContent xmlns:mc="http://schemas.openxmlformats.org/markup-compatibility/2006">
        <mc:Choice xmlns:a14="http://schemas.microsoft.com/office/drawing/2010/main" Requires="a14">
          <xdr:sp macro="" textlink="">
            <xdr:nvSpPr>
              <xdr:cNvPr id="45097" name="Button 1603" hidden="1">
                <a:extLst>
                  <a:ext uri="{63B3BB69-23CF-44E3-9099-C40C66FF867C}">
                    <a14:compatExt spid="_x0000_s45097"/>
                  </a:ext>
                  <a:ext uri="{FF2B5EF4-FFF2-40B4-BE49-F238E27FC236}">
                    <a16:creationId xmlns:a16="http://schemas.microsoft.com/office/drawing/2014/main" id="{00000000-0008-0000-0400-000029B00000}"/>
                  </a:ext>
                </a:extLst>
              </xdr:cNvPr>
              <xdr:cNvSpPr/>
            </xdr:nvSpPr>
            <xdr:spPr bwMode="auto">
              <a:xfrm>
                <a:off x="1990723"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Add</a:t>
                </a:r>
              </a:p>
            </xdr:txBody>
          </xdr:sp>
        </mc:Choice>
        <mc:Fallback/>
      </mc:AlternateContent>
      <xdr:sp macro="[0]!AddScenario" textlink="">
        <xdr:nvSpPr>
          <xdr:cNvPr id="11" name="Plus Sign 10">
            <a:extLst>
              <a:ext uri="{FF2B5EF4-FFF2-40B4-BE49-F238E27FC236}">
                <a16:creationId xmlns:a16="http://schemas.microsoft.com/office/drawing/2014/main" id="{00000000-0008-0000-0400-00000B000000}"/>
              </a:ext>
            </a:extLst>
          </xdr:cNvPr>
          <xdr:cNvSpPr/>
        </xdr:nvSpPr>
        <xdr:spPr>
          <a:xfrm>
            <a:off x="2133600" y="209549"/>
            <a:ext cx="182880" cy="182880"/>
          </a:xfrm>
          <a:prstGeom prst="mathPlus">
            <a:avLst/>
          </a:prstGeom>
          <a:solidFill>
            <a:srgbClr val="0070C0"/>
          </a:solidFill>
          <a:ln>
            <a:noFill/>
          </a:ln>
          <a:effectLst>
            <a:glow>
              <a:schemeClr val="accent1"/>
            </a:glow>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800"/>
          </a:p>
        </xdr:txBody>
      </xdr:sp>
    </xdr:grpSp>
    <xdr:clientData/>
  </xdr:twoCellAnchor>
  <xdr:twoCellAnchor editAs="absolute">
    <xdr:from>
      <xdr:col>1</xdr:col>
      <xdr:colOff>542925</xdr:colOff>
      <xdr:row>0</xdr:row>
      <xdr:rowOff>47625</xdr:rowOff>
    </xdr:from>
    <xdr:to>
      <xdr:col>1</xdr:col>
      <xdr:colOff>1000125</xdr:colOff>
      <xdr:row>1</xdr:row>
      <xdr:rowOff>238125</xdr:rowOff>
    </xdr:to>
    <xdr:grpSp>
      <xdr:nvGrpSpPr>
        <xdr:cNvPr id="12" name="remove_group" hidden="1">
          <a:extLst>
            <a:ext uri="{FF2B5EF4-FFF2-40B4-BE49-F238E27FC236}">
              <a16:creationId xmlns:a16="http://schemas.microsoft.com/office/drawing/2014/main" id="{00000000-0008-0000-0400-00000C000000}"/>
            </a:ext>
          </a:extLst>
        </xdr:cNvPr>
        <xdr:cNvGrpSpPr/>
      </xdr:nvGrpSpPr>
      <xdr:grpSpPr>
        <a:xfrm>
          <a:off x="819150" y="47625"/>
          <a:ext cx="457200" cy="457200"/>
          <a:chOff x="2486025" y="123825"/>
          <a:chExt cx="457200" cy="457200"/>
        </a:xfrm>
      </xdr:grpSpPr>
      <mc:AlternateContent xmlns:mc="http://schemas.openxmlformats.org/markup-compatibility/2006">
        <mc:Choice xmlns:a14="http://schemas.microsoft.com/office/drawing/2010/main" Requires="a14">
          <xdr:sp macro="" textlink="">
            <xdr:nvSpPr>
              <xdr:cNvPr id="45098" name="Button 1549" hidden="1">
                <a:extLst>
                  <a:ext uri="{63B3BB69-23CF-44E3-9099-C40C66FF867C}">
                    <a14:compatExt spid="_x0000_s45098"/>
                  </a:ext>
                  <a:ext uri="{FF2B5EF4-FFF2-40B4-BE49-F238E27FC236}">
                    <a16:creationId xmlns:a16="http://schemas.microsoft.com/office/drawing/2014/main" id="{00000000-0008-0000-0400-00002AB00000}"/>
                  </a:ext>
                </a:extLst>
              </xdr:cNvPr>
              <xdr:cNvSpPr/>
            </xdr:nvSpPr>
            <xdr:spPr bwMode="auto">
              <a:xfrm>
                <a:off x="2486025"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Remove</a:t>
                </a:r>
              </a:p>
            </xdr:txBody>
          </xdr:sp>
        </mc:Choice>
        <mc:Fallback/>
      </mc:AlternateContent>
      <xdr:sp macro="[0]!DeleteCheckboxandRow" textlink="">
        <xdr:nvSpPr>
          <xdr:cNvPr id="14" name="Minus Sign 13" hidden="1">
            <a:extLst>
              <a:ext uri="{FF2B5EF4-FFF2-40B4-BE49-F238E27FC236}">
                <a16:creationId xmlns:a16="http://schemas.microsoft.com/office/drawing/2014/main" id="{00000000-0008-0000-0400-00000E000000}"/>
              </a:ext>
            </a:extLst>
          </xdr:cNvPr>
          <xdr:cNvSpPr/>
        </xdr:nvSpPr>
        <xdr:spPr>
          <a:xfrm>
            <a:off x="2628900" y="200025"/>
            <a:ext cx="182880" cy="182880"/>
          </a:xfrm>
          <a:prstGeom prst="mathMinus">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800"/>
          </a:p>
        </xdr:txBody>
      </xdr:sp>
    </xdr:grpSp>
    <xdr:clientData/>
  </xdr:twoCellAnchor>
  <xdr:twoCellAnchor editAs="absolute">
    <xdr:from>
      <xdr:col>2</xdr:col>
      <xdr:colOff>57150</xdr:colOff>
      <xdr:row>0</xdr:row>
      <xdr:rowOff>47625</xdr:rowOff>
    </xdr:from>
    <xdr:to>
      <xdr:col>2</xdr:col>
      <xdr:colOff>514350</xdr:colOff>
      <xdr:row>1</xdr:row>
      <xdr:rowOff>238125</xdr:rowOff>
    </xdr:to>
    <xdr:grpSp>
      <xdr:nvGrpSpPr>
        <xdr:cNvPr id="15" name="run_group">
          <a:extLst>
            <a:ext uri="{FF2B5EF4-FFF2-40B4-BE49-F238E27FC236}">
              <a16:creationId xmlns:a16="http://schemas.microsoft.com/office/drawing/2014/main" id="{00000000-0008-0000-0400-00000F000000}"/>
            </a:ext>
          </a:extLst>
        </xdr:cNvPr>
        <xdr:cNvGrpSpPr/>
      </xdr:nvGrpSpPr>
      <xdr:grpSpPr>
        <a:xfrm>
          <a:off x="2133600" y="47625"/>
          <a:ext cx="457200" cy="457200"/>
          <a:chOff x="3505200" y="123825"/>
          <a:chExt cx="457200" cy="457200"/>
        </a:xfrm>
      </xdr:grpSpPr>
      <mc:AlternateContent xmlns:mc="http://schemas.openxmlformats.org/markup-compatibility/2006">
        <mc:Choice xmlns:a14="http://schemas.microsoft.com/office/drawing/2010/main" Requires="a14">
          <xdr:sp macro="" textlink="">
            <xdr:nvSpPr>
              <xdr:cNvPr id="45099" name="Button 1460" hidden="1">
                <a:extLst>
                  <a:ext uri="{63B3BB69-23CF-44E3-9099-C40C66FF867C}">
                    <a14:compatExt spid="_x0000_s45099"/>
                  </a:ext>
                  <a:ext uri="{FF2B5EF4-FFF2-40B4-BE49-F238E27FC236}">
                    <a16:creationId xmlns:a16="http://schemas.microsoft.com/office/drawing/2014/main" id="{00000000-0008-0000-0400-00002BB00000}"/>
                  </a:ext>
                </a:extLst>
              </xdr:cNvPr>
              <xdr:cNvSpPr/>
            </xdr:nvSpPr>
            <xdr:spPr bwMode="auto">
              <a:xfrm>
                <a:off x="3505200"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Run</a:t>
                </a:r>
              </a:p>
            </xdr:txBody>
          </xdr:sp>
        </mc:Choice>
        <mc:Fallback/>
      </mc:AlternateContent>
      <xdr:sp macro="[0]!_xludf.Run" textlink="">
        <xdr:nvSpPr>
          <xdr:cNvPr id="17" name="Arrow: Pentagon 16">
            <a:extLst>
              <a:ext uri="{FF2B5EF4-FFF2-40B4-BE49-F238E27FC236}">
                <a16:creationId xmlns:a16="http://schemas.microsoft.com/office/drawing/2014/main" id="{00000000-0008-0000-0400-000011000000}"/>
              </a:ext>
            </a:extLst>
          </xdr:cNvPr>
          <xdr:cNvSpPr/>
        </xdr:nvSpPr>
        <xdr:spPr>
          <a:xfrm>
            <a:off x="3648075" y="200025"/>
            <a:ext cx="182880" cy="182880"/>
          </a:xfrm>
          <a:prstGeom prst="homePlate">
            <a:avLst/>
          </a:prstGeom>
          <a:solidFill>
            <a:srgbClr val="00B05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3</xdr:col>
      <xdr:colOff>133350</xdr:colOff>
      <xdr:row>0</xdr:row>
      <xdr:rowOff>47625</xdr:rowOff>
    </xdr:from>
    <xdr:to>
      <xdr:col>3</xdr:col>
      <xdr:colOff>590550</xdr:colOff>
      <xdr:row>1</xdr:row>
      <xdr:rowOff>238125</xdr:rowOff>
    </xdr:to>
    <xdr:grpSp>
      <xdr:nvGrpSpPr>
        <xdr:cNvPr id="16" name="Group 15">
          <a:extLst>
            <a:ext uri="{FF2B5EF4-FFF2-40B4-BE49-F238E27FC236}">
              <a16:creationId xmlns:a16="http://schemas.microsoft.com/office/drawing/2014/main" id="{00000000-0008-0000-0400-000010000000}"/>
            </a:ext>
          </a:extLst>
        </xdr:cNvPr>
        <xdr:cNvGrpSpPr/>
      </xdr:nvGrpSpPr>
      <xdr:grpSpPr>
        <a:xfrm>
          <a:off x="2895600" y="47625"/>
          <a:ext cx="457200" cy="457200"/>
          <a:chOff x="4562475" y="123825"/>
          <a:chExt cx="457200" cy="457200"/>
        </a:xfrm>
      </xdr:grpSpPr>
      <mc:AlternateContent xmlns:mc="http://schemas.openxmlformats.org/markup-compatibility/2006">
        <mc:Choice xmlns:a14="http://schemas.microsoft.com/office/drawing/2010/main" Requires="a14">
          <xdr:sp macro="" textlink="">
            <xdr:nvSpPr>
              <xdr:cNvPr id="45103" name="Button 1547" hidden="1">
                <a:extLst>
                  <a:ext uri="{63B3BB69-23CF-44E3-9099-C40C66FF867C}">
                    <a14:compatExt spid="_x0000_s45103"/>
                  </a:ext>
                  <a:ext uri="{FF2B5EF4-FFF2-40B4-BE49-F238E27FC236}">
                    <a16:creationId xmlns:a16="http://schemas.microsoft.com/office/drawing/2014/main" id="{00000000-0008-0000-0400-00002FB00000}"/>
                  </a:ext>
                </a:extLst>
              </xdr:cNvPr>
              <xdr:cNvSpPr/>
            </xdr:nvSpPr>
            <xdr:spPr bwMode="auto">
              <a:xfrm>
                <a:off x="4562475"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Clear Results</a:t>
                </a:r>
              </a:p>
            </xdr:txBody>
          </xdr:sp>
        </mc:Choice>
        <mc:Fallback/>
      </mc:AlternateContent>
      <xdr:sp macro="[0]!ClearResults" textlink="">
        <xdr:nvSpPr>
          <xdr:cNvPr id="19" name="Wave 18">
            <a:extLst>
              <a:ext uri="{FF2B5EF4-FFF2-40B4-BE49-F238E27FC236}">
                <a16:creationId xmlns:a16="http://schemas.microsoft.com/office/drawing/2014/main" id="{00000000-0008-0000-0400-000013000000}"/>
              </a:ext>
            </a:extLst>
          </xdr:cNvPr>
          <xdr:cNvSpPr/>
        </xdr:nvSpPr>
        <xdr:spPr>
          <a:xfrm>
            <a:off x="4695825" y="123825"/>
            <a:ext cx="182880" cy="182880"/>
          </a:xfrm>
          <a:prstGeom prst="wave">
            <a:avLst/>
          </a:prstGeom>
          <a:solidFill>
            <a:schemeClr val="accent2">
              <a:lumMod val="40000"/>
              <a:lumOff val="6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xdr:col>
      <xdr:colOff>1066800</xdr:colOff>
      <xdr:row>0</xdr:row>
      <xdr:rowOff>47625</xdr:rowOff>
    </xdr:from>
    <xdr:to>
      <xdr:col>1</xdr:col>
      <xdr:colOff>1524000</xdr:colOff>
      <xdr:row>1</xdr:row>
      <xdr:rowOff>238125</xdr:rowOff>
    </xdr:to>
    <xdr:grpSp>
      <xdr:nvGrpSpPr>
        <xdr:cNvPr id="21" name="Group 20">
          <a:extLst>
            <a:ext uri="{FF2B5EF4-FFF2-40B4-BE49-F238E27FC236}">
              <a16:creationId xmlns:a16="http://schemas.microsoft.com/office/drawing/2014/main" id="{00000000-0008-0000-0400-000015000000}"/>
            </a:ext>
          </a:extLst>
        </xdr:cNvPr>
        <xdr:cNvGrpSpPr/>
      </xdr:nvGrpSpPr>
      <xdr:grpSpPr>
        <a:xfrm>
          <a:off x="1343025" y="47625"/>
          <a:ext cx="457200" cy="457200"/>
          <a:chOff x="1609725" y="47625"/>
          <a:chExt cx="457200" cy="457200"/>
        </a:xfrm>
      </xdr:grpSpPr>
      <mc:AlternateContent xmlns:mc="http://schemas.openxmlformats.org/markup-compatibility/2006">
        <mc:Choice xmlns:a14="http://schemas.microsoft.com/office/drawing/2010/main" Requires="a14">
          <xdr:sp macro="" textlink="">
            <xdr:nvSpPr>
              <xdr:cNvPr id="45104" name="Button 48" hidden="1">
                <a:extLst>
                  <a:ext uri="{63B3BB69-23CF-44E3-9099-C40C66FF867C}">
                    <a14:compatExt spid="_x0000_s45104"/>
                  </a:ext>
                  <a:ext uri="{FF2B5EF4-FFF2-40B4-BE49-F238E27FC236}">
                    <a16:creationId xmlns:a16="http://schemas.microsoft.com/office/drawing/2014/main" id="{00000000-0008-0000-0400-000030B00000}"/>
                  </a:ext>
                </a:extLst>
              </xdr:cNvPr>
              <xdr:cNvSpPr/>
            </xdr:nvSpPr>
            <xdr:spPr bwMode="auto">
              <a:xfrm>
                <a:off x="1609725" y="476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Edit</a:t>
                </a:r>
              </a:p>
            </xdr:txBody>
          </xdr:sp>
        </mc:Choice>
        <mc:Fallback/>
      </mc:AlternateContent>
      <xdr:pic macro="[0]!DoNothing">
        <xdr:nvPicPr>
          <xdr:cNvPr id="22" name="Graphic 21" descr="Pencil">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762125" y="152401"/>
            <a:ext cx="182880" cy="182880"/>
          </a:xfrm>
          <a:prstGeom prst="rect">
            <a:avLst/>
          </a:prstGeom>
        </xdr:spPr>
      </xdr:pic>
    </xdr:grpSp>
    <xdr:clientData/>
  </xdr:twoCellAnchor>
  <xdr:twoCellAnchor>
    <xdr:from>
      <xdr:col>1</xdr:col>
      <xdr:colOff>1066800</xdr:colOff>
      <xdr:row>0</xdr:row>
      <xdr:rowOff>47625</xdr:rowOff>
    </xdr:from>
    <xdr:to>
      <xdr:col>1</xdr:col>
      <xdr:colOff>1524000</xdr:colOff>
      <xdr:row>1</xdr:row>
      <xdr:rowOff>238125</xdr:rowOff>
    </xdr:to>
    <xdr:grpSp>
      <xdr:nvGrpSpPr>
        <xdr:cNvPr id="23" name="edit_group" hidden="1">
          <a:extLst>
            <a:ext uri="{FF2B5EF4-FFF2-40B4-BE49-F238E27FC236}">
              <a16:creationId xmlns:a16="http://schemas.microsoft.com/office/drawing/2014/main" id="{00000000-0008-0000-0400-000017000000}"/>
            </a:ext>
          </a:extLst>
        </xdr:cNvPr>
        <xdr:cNvGrpSpPr/>
      </xdr:nvGrpSpPr>
      <xdr:grpSpPr>
        <a:xfrm>
          <a:off x="1343025" y="47625"/>
          <a:ext cx="457200" cy="457200"/>
          <a:chOff x="2438400" y="1419225"/>
          <a:chExt cx="457200" cy="457200"/>
        </a:xfrm>
      </xdr:grpSpPr>
      <mc:AlternateContent xmlns:mc="http://schemas.openxmlformats.org/markup-compatibility/2006">
        <mc:Choice xmlns:a14="http://schemas.microsoft.com/office/drawing/2010/main" Requires="a14">
          <xdr:sp macro="" textlink="">
            <xdr:nvSpPr>
              <xdr:cNvPr id="45105" name="Button 49" hidden="1">
                <a:extLst>
                  <a:ext uri="{63B3BB69-23CF-44E3-9099-C40C66FF867C}">
                    <a14:compatExt spid="_x0000_s45105"/>
                  </a:ext>
                  <a:ext uri="{FF2B5EF4-FFF2-40B4-BE49-F238E27FC236}">
                    <a16:creationId xmlns:a16="http://schemas.microsoft.com/office/drawing/2014/main" id="{00000000-0008-0000-0400-000031B00000}"/>
                  </a:ext>
                </a:extLst>
              </xdr:cNvPr>
              <xdr:cNvSpPr/>
            </xdr:nvSpPr>
            <xdr:spPr bwMode="auto">
              <a:xfrm>
                <a:off x="2438400" y="14192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Edit</a:t>
                </a:r>
              </a:p>
            </xdr:txBody>
          </xdr:sp>
        </mc:Choice>
        <mc:Fallback/>
      </mc:AlternateContent>
      <xdr:pic macro="[0]!EditItem">
        <xdr:nvPicPr>
          <xdr:cNvPr id="24" name="Graphic 23" descr="Pencil" hidden="1">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581275" y="1514476"/>
            <a:ext cx="182880" cy="182880"/>
          </a:xfrm>
          <a:prstGeom prst="rect">
            <a:avLst/>
          </a:prstGeom>
          <a:scene3d>
            <a:camera prst="orthographicFront"/>
            <a:lightRig rig="threePt" dir="t"/>
          </a:scene3d>
          <a:sp3d>
            <a:bevelT w="0" h="0"/>
          </a:sp3d>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19050</xdr:colOff>
      <xdr:row>2</xdr:row>
      <xdr:rowOff>19050</xdr:rowOff>
    </xdr:from>
    <xdr:to>
      <xdr:col>13</xdr:col>
      <xdr:colOff>625475</xdr:colOff>
      <xdr:row>30</xdr:row>
      <xdr:rowOff>180975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3371850" y="419100"/>
          <a:ext cx="8150225" cy="5162550"/>
        </a:xfrm>
        <a:prstGeom prst="rect">
          <a:avLst/>
        </a:prstGeom>
        <a:solidFill>
          <a:schemeClr val="accent4">
            <a:lumMod val="20000"/>
            <a:lumOff val="80000"/>
          </a:schemeClr>
        </a:solid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n-US" sz="1400" b="1" i="0" u="none" strike="noStrike" baseline="0">
              <a:solidFill>
                <a:schemeClr val="dk1"/>
              </a:solidFill>
              <a:latin typeface="+mn-lt"/>
              <a:ea typeface="+mn-ea"/>
              <a:cs typeface="+mn-cs"/>
            </a:rPr>
            <a:t>Copyright (c) 2020 Big Ladder Software LLC. All Rights Reserved.</a:t>
          </a:r>
        </a:p>
        <a:p>
          <a:pPr rtl="0"/>
          <a:endParaRPr lang="en-US" sz="1400" b="1" i="0" u="none" strike="noStrike" baseline="0">
            <a:solidFill>
              <a:schemeClr val="dk1"/>
            </a:solidFill>
            <a:latin typeface="+mn-lt"/>
            <a:ea typeface="+mn-ea"/>
            <a:cs typeface="+mn-cs"/>
          </a:endParaRPr>
        </a:p>
        <a:p>
          <a:pPr rtl="0"/>
          <a:r>
            <a:rPr lang="en-US" sz="1400" b="1" i="0" u="none" strike="noStrike" baseline="0">
              <a:solidFill>
                <a:schemeClr val="dk1"/>
              </a:solidFill>
              <a:latin typeface="+mn-lt"/>
              <a:ea typeface="+mn-ea"/>
              <a:cs typeface="+mn-cs"/>
            </a:rPr>
            <a:t>Redistribution and use in source and binary forms, with or without modification, are permitted provided that the following conditions are met:</a:t>
          </a:r>
        </a:p>
        <a:p>
          <a:pPr rtl="0"/>
          <a:endParaRPr lang="en-US" sz="1400" b="1" i="0" u="none" strike="noStrike" baseline="0">
            <a:solidFill>
              <a:schemeClr val="dk1"/>
            </a:solidFill>
            <a:latin typeface="+mn-lt"/>
            <a:ea typeface="+mn-ea"/>
            <a:cs typeface="+mn-cs"/>
          </a:endParaRPr>
        </a:p>
        <a:p>
          <a:pPr rtl="0"/>
          <a:r>
            <a:rPr lang="en-US" sz="1400" b="1" i="0" u="none" strike="noStrike" baseline="0">
              <a:solidFill>
                <a:schemeClr val="dk1"/>
              </a:solidFill>
              <a:latin typeface="+mn-lt"/>
              <a:ea typeface="+mn-ea"/>
              <a:cs typeface="+mn-cs"/>
            </a:rPr>
            <a:t>1. Redistributions of source code must retain the above copyright notice, this list of conditions and the following disclaimer.</a:t>
          </a:r>
        </a:p>
        <a:p>
          <a:pPr rtl="0"/>
          <a:endParaRPr lang="en-US" sz="1400" b="1" i="0" u="none" strike="noStrike" baseline="0">
            <a:solidFill>
              <a:schemeClr val="dk1"/>
            </a:solidFill>
            <a:latin typeface="+mn-lt"/>
            <a:ea typeface="+mn-ea"/>
            <a:cs typeface="+mn-cs"/>
          </a:endParaRPr>
        </a:p>
        <a:p>
          <a:pPr rtl="0"/>
          <a:r>
            <a:rPr lang="en-US" sz="1400" b="1" i="0" u="none" strike="noStrike" baseline="0">
              <a:solidFill>
                <a:schemeClr val="dk1"/>
              </a:solidFill>
              <a:latin typeface="+mn-lt"/>
              <a:ea typeface="+mn-ea"/>
              <a:cs typeface="+mn-cs"/>
            </a:rPr>
            <a:t>2. Redistributions in binary form must reproduce the above copyright notice, this list of conditions and the following disclaimer in the documentation and/or other materials provided with the distribution.</a:t>
          </a:r>
        </a:p>
        <a:p>
          <a:pPr rtl="0"/>
          <a:endParaRPr lang="en-US" sz="1400" b="1" i="0" u="none" strike="noStrike" baseline="0">
            <a:solidFill>
              <a:schemeClr val="dk1"/>
            </a:solidFill>
            <a:latin typeface="+mn-lt"/>
            <a:ea typeface="+mn-ea"/>
            <a:cs typeface="+mn-cs"/>
          </a:endParaRPr>
        </a:p>
        <a:p>
          <a:pPr rtl="0"/>
          <a:r>
            <a:rPr lang="en-US" sz="1400" b="1" i="0" u="none" strike="noStrike" baseline="0">
              <a:solidFill>
                <a:schemeClr val="dk1"/>
              </a:solidFill>
              <a:latin typeface="+mn-lt"/>
              <a:ea typeface="+mn-ea"/>
              <a:cs typeface="+mn-cs"/>
            </a:rPr>
            <a:t>3. Neither the name of the copyright holder nor the names of its contributors may be used to endorse or promote products derived from this software without specific prior written permission.</a:t>
          </a:r>
        </a:p>
        <a:p>
          <a:pPr rtl="0"/>
          <a:endParaRPr lang="en-US" sz="1400" b="1" i="0" u="none" strike="noStrike" baseline="0">
            <a:solidFill>
              <a:schemeClr val="dk1"/>
            </a:solidFill>
            <a:latin typeface="+mn-lt"/>
            <a:ea typeface="+mn-ea"/>
            <a:cs typeface="+mn-cs"/>
          </a:endParaRPr>
        </a:p>
        <a:p>
          <a:pPr rtl="0"/>
          <a:r>
            <a:rPr lang="en-US" sz="1400" b="1" i="0" u="none" strike="noStrike" baseline="0">
              <a:solidFill>
                <a:schemeClr val="dk1"/>
              </a:solidFill>
              <a:latin typeface="+mn-lt"/>
              <a:ea typeface="+mn-ea"/>
              <a:cs typeface="+mn-cs"/>
            </a:rPr>
            <a:t>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a:t>
          </a:r>
        </a:p>
        <a:p>
          <a:pPr rtl="0"/>
          <a:endParaRPr lang="en-US" sz="1400" b="1" i="0" u="none" strike="noStrike" baseline="0">
            <a:solidFill>
              <a:schemeClr val="dk1"/>
            </a:solidFill>
            <a:latin typeface="+mn-lt"/>
            <a:ea typeface="+mn-ea"/>
            <a:cs typeface="+mn-cs"/>
          </a:endParaRPr>
        </a:p>
        <a:p>
          <a:pPr rtl="0"/>
          <a:endParaRPr lang="en-US" sz="1400" b="1" i="0" u="none" strike="noStrike" baseline="0">
            <a:solidFill>
              <a:schemeClr val="dk1"/>
            </a:solidFill>
            <a:latin typeface="+mn-lt"/>
            <a:ea typeface="+mn-ea"/>
            <a:cs typeface="+mn-cs"/>
          </a:endParaRPr>
        </a:p>
      </xdr:txBody>
    </xdr:sp>
    <xdr:clientData/>
  </xdr:twoCellAnchor>
  <xdr:twoCellAnchor>
    <xdr:from>
      <xdr:col>14</xdr:col>
      <xdr:colOff>19050</xdr:colOff>
      <xdr:row>2</xdr:row>
      <xdr:rowOff>38100</xdr:rowOff>
    </xdr:from>
    <xdr:to>
      <xdr:col>23</xdr:col>
      <xdr:colOff>625475</xdr:colOff>
      <xdr:row>31</xdr:row>
      <xdr:rowOff>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1753850" y="438150"/>
          <a:ext cx="8150225" cy="5162550"/>
        </a:xfrm>
        <a:prstGeom prst="rect">
          <a:avLst/>
        </a:prstGeom>
        <a:solidFill>
          <a:schemeClr val="accent4">
            <a:lumMod val="20000"/>
            <a:lumOff val="80000"/>
          </a:schemeClr>
        </a:solid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n-US" sz="1400" b="1" i="0" u="sng" strike="noStrike" baseline="0">
              <a:solidFill>
                <a:schemeClr val="dk1"/>
              </a:solidFill>
              <a:latin typeface="+mn-lt"/>
              <a:ea typeface="+mn-ea"/>
              <a:cs typeface="+mn-cs"/>
            </a:rPr>
            <a:t>Dependencies:</a:t>
          </a:r>
        </a:p>
        <a:p>
          <a:pPr rtl="0"/>
          <a:endParaRPr lang="en-US" sz="1400" b="1" i="0" u="none" strike="noStrike" baseline="0">
            <a:solidFill>
              <a:schemeClr val="dk1"/>
            </a:solidFill>
            <a:latin typeface="+mn-lt"/>
            <a:ea typeface="+mn-ea"/>
            <a:cs typeface="+mn-cs"/>
          </a:endParaRPr>
        </a:p>
        <a:p>
          <a:pPr rtl="0"/>
          <a:r>
            <a:rPr lang="en-US" sz="1400" b="1" i="0" u="none" strike="noStrike" baseline="0">
              <a:solidFill>
                <a:schemeClr val="dk1"/>
              </a:solidFill>
              <a:latin typeface="+mn-lt"/>
              <a:ea typeface="+mn-ea"/>
              <a:cs typeface="+mn-cs"/>
            </a:rPr>
            <a:t>* copy erin_multi.exe into the same directory as this workbook</a:t>
          </a:r>
        </a:p>
        <a:p>
          <a:pPr rtl="0"/>
          <a:r>
            <a:rPr lang="en-US" sz="1400" b="1" i="0" u="none" strike="noStrike" baseline="0">
              <a:solidFill>
                <a:schemeClr val="dk1"/>
              </a:solidFill>
              <a:latin typeface="+mn-lt"/>
              <a:ea typeface="+mn-ea"/>
              <a:cs typeface="+mn-cs"/>
            </a:rPr>
            <a:t>  - be sure to specify the path to the erin_multi.exe binary in cell Settings:C2</a:t>
          </a:r>
        </a:p>
        <a:p>
          <a:pPr rtl="0"/>
          <a:r>
            <a:rPr lang="en-US" sz="1400" b="1" i="0" u="none" strike="noStrike" baseline="0">
              <a:solidFill>
                <a:schemeClr val="dk1"/>
              </a:solidFill>
              <a:latin typeface="+mn-lt"/>
              <a:ea typeface="+mn-ea"/>
              <a:cs typeface="+mn-cs"/>
            </a:rPr>
            <a:t>* ensure that template.toml and support.rb are in the same directory as this workbook</a:t>
          </a:r>
        </a:p>
        <a:p>
          <a:pPr rtl="0"/>
          <a:r>
            <a:rPr lang="en-US" sz="1400" b="1" i="0" u="none" strike="noStrike" baseline="0">
              <a:solidFill>
                <a:schemeClr val="dk1"/>
              </a:solidFill>
              <a:latin typeface="+mn-lt"/>
              <a:ea typeface="+mn-ea"/>
              <a:cs typeface="+mn-cs"/>
            </a:rPr>
            <a:t>* install modelkit catalyst from https://bigladdersoftware.com/projects/modelkit/</a:t>
          </a:r>
        </a:p>
        <a:p>
          <a:pPr rtl="0"/>
          <a:endParaRPr lang="en-US" sz="1400" b="1" i="0" u="none" strike="noStrike" baseline="0">
            <a:solidFill>
              <a:schemeClr val="dk1"/>
            </a:solidFill>
            <a:latin typeface="+mn-lt"/>
            <a:ea typeface="+mn-ea"/>
            <a:cs typeface="+mn-cs"/>
          </a:endParaRPr>
        </a:p>
        <a:p>
          <a:pPr rtl="0"/>
          <a:r>
            <a:rPr lang="en-US" sz="1400" b="1" i="0" u="sng" strike="noStrike" baseline="0">
              <a:solidFill>
                <a:schemeClr val="dk1"/>
              </a:solidFill>
              <a:latin typeface="+mn-lt"/>
              <a:ea typeface="+mn-ea"/>
              <a:cs typeface="+mn-cs"/>
            </a:rPr>
            <a:t>Instructions:</a:t>
          </a:r>
        </a:p>
        <a:p>
          <a:pPr rtl="0"/>
          <a:endParaRPr lang="en-US" sz="1400" b="1" i="0" u="none" strike="noStrike" baseline="0">
            <a:solidFill>
              <a:schemeClr val="dk1"/>
            </a:solidFill>
            <a:latin typeface="+mn-lt"/>
            <a:ea typeface="+mn-ea"/>
            <a:cs typeface="+mn-cs"/>
          </a:endParaRPr>
        </a:p>
        <a:p>
          <a:pPr rtl="0"/>
          <a:r>
            <a:rPr lang="en-US" sz="1400" b="1" i="0" u="none" strike="noStrike" baseline="0">
              <a:solidFill>
                <a:schemeClr val="dk1"/>
              </a:solidFill>
              <a:latin typeface="+mn-lt"/>
              <a:ea typeface="+mn-ea"/>
              <a:cs typeface="+mn-cs"/>
            </a:rPr>
            <a:t>1. fill in the settings, components, network, and scenarios sheets using the buttons provided</a:t>
          </a:r>
        </a:p>
        <a:p>
          <a:pPr rtl="0"/>
          <a:r>
            <a:rPr lang="en-US" sz="1400" b="1" i="0" u="none" strike="noStrike" baseline="0">
              <a:solidFill>
                <a:schemeClr val="dk1"/>
              </a:solidFill>
              <a:latin typeface="+mn-lt"/>
              <a:ea typeface="+mn-ea"/>
              <a:cs typeface="+mn-cs"/>
            </a:rPr>
            <a:t>  - be sure to specify the path to the erin_multi.exe binary in cell Settings:C2</a:t>
          </a:r>
        </a:p>
        <a:p>
          <a:pPr rtl="0"/>
          <a:r>
            <a:rPr lang="en-US" sz="1400" b="1" i="0" u="none" strike="noStrike" baseline="0">
              <a:solidFill>
                <a:schemeClr val="dk1"/>
              </a:solidFill>
              <a:latin typeface="+mn-lt"/>
              <a:ea typeface="+mn-ea"/>
              <a:cs typeface="+mn-cs"/>
            </a:rPr>
            <a:t>2. when the system has been set up to your liking, hit "run" on the Scenarios tab</a:t>
          </a:r>
        </a:p>
        <a:p>
          <a:pPr rtl="0"/>
          <a:r>
            <a:rPr lang="en-US" sz="1400" b="1" i="0" u="none" strike="noStrike" baseline="0">
              <a:solidFill>
                <a:schemeClr val="dk1"/>
              </a:solidFill>
              <a:latin typeface="+mn-lt"/>
              <a:ea typeface="+mn-ea"/>
              <a:cs typeface="+mn-cs"/>
            </a:rPr>
            <a:t>3. outputs will appear in the out and stats sheets.</a:t>
          </a:r>
        </a:p>
        <a:p>
          <a:pPr rtl="0"/>
          <a:endParaRPr lang="en-US" sz="1400" b="1" i="0" u="none" strike="noStrike" baseline="0">
            <a:solidFill>
              <a:schemeClr val="dk1"/>
            </a:solidFill>
            <a:latin typeface="+mn-lt"/>
            <a:ea typeface="+mn-ea"/>
            <a:cs typeface="+mn-cs"/>
          </a:endParaRPr>
        </a:p>
        <a:p>
          <a:pPr rtl="0"/>
          <a:r>
            <a:rPr lang="en-US" sz="1400" b="1" i="0" u="none" strike="noStrike" baseline="0">
              <a:solidFill>
                <a:schemeClr val="dk1"/>
              </a:solidFill>
              <a:latin typeface="+mn-lt"/>
              <a:ea typeface="+mn-ea"/>
              <a:cs typeface="+mn-cs"/>
            </a:rPr>
            <a:t>Data saved by the UI controls are stroed on hidden worksheets and can be edited or examined by advanced users by unhiding.</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ctrlProp" Target="../ctrlProps/ctrlProp10.xml"/><Relationship Id="rId7" Type="http://schemas.openxmlformats.org/officeDocument/2006/relationships/ctrlProp" Target="../ctrlProps/ctrlProp14.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3C133-A2C4-49F4-B04C-14B93300DF60}">
  <sheetPr codeName="Sheet3"/>
  <dimension ref="A1"/>
  <sheetViews>
    <sheetView tabSelected="1" zoomScale="120" zoomScaleNormal="120" workbookViewId="0"/>
  </sheetViews>
  <sheetFormatPr defaultColWidth="11.625" defaultRowHeight="15.75" x14ac:dyDescent="0.25"/>
  <sheetData/>
  <pageMargins left="0.7" right="0.7" top="0.75" bottom="0.75" header="0.3" footer="0.3"/>
  <pageSetup orientation="portrait" horizontalDpi="0" verticalDpi="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10783-9BE3-48D1-B2F5-70590D2D7072}">
  <sheetPr codeName="Sheet6"/>
  <dimension ref="A1:D10"/>
  <sheetViews>
    <sheetView workbookViewId="0">
      <selection activeCell="G11" sqref="G11"/>
    </sheetView>
  </sheetViews>
  <sheetFormatPr defaultRowHeight="15.75" x14ac:dyDescent="0.25"/>
  <cols>
    <col min="1" max="1" width="4.375" customWidth="1"/>
    <col min="2" max="2" width="17.75" bestFit="1" customWidth="1"/>
  </cols>
  <sheetData>
    <row r="1" spans="1:4" x14ac:dyDescent="0.25">
      <c r="A1" s="4" t="s">
        <v>146</v>
      </c>
      <c r="B1" s="3"/>
      <c r="C1" s="3"/>
      <c r="D1" s="3"/>
    </row>
    <row r="2" spans="1:4" x14ac:dyDescent="0.25">
      <c r="A2" s="3"/>
      <c r="B2" s="4" t="s">
        <v>70</v>
      </c>
      <c r="C2" s="3" t="s">
        <v>145</v>
      </c>
      <c r="D2" s="3"/>
    </row>
    <row r="3" spans="1:4" x14ac:dyDescent="0.25">
      <c r="A3" s="4"/>
      <c r="B3" s="3"/>
      <c r="C3" s="3"/>
      <c r="D3" s="3"/>
    </row>
    <row r="4" spans="1:4" x14ac:dyDescent="0.25">
      <c r="A4" s="4" t="s">
        <v>74</v>
      </c>
      <c r="B4" s="3"/>
      <c r="C4" s="3"/>
      <c r="D4" s="3"/>
    </row>
    <row r="5" spans="1:4" x14ac:dyDescent="0.25">
      <c r="A5" s="4"/>
      <c r="B5" s="4" t="s">
        <v>71</v>
      </c>
      <c r="C5" s="3">
        <v>100</v>
      </c>
      <c r="D5" s="3" t="s">
        <v>72</v>
      </c>
    </row>
    <row r="6" spans="1:4" x14ac:dyDescent="0.25">
      <c r="A6" s="4"/>
      <c r="B6" s="4" t="s">
        <v>4</v>
      </c>
      <c r="C6" s="3" t="s">
        <v>5</v>
      </c>
      <c r="D6" s="3"/>
    </row>
    <row r="7" spans="1:4" x14ac:dyDescent="0.25">
      <c r="A7" s="4"/>
      <c r="B7" s="4" t="s">
        <v>73</v>
      </c>
      <c r="C7" s="3">
        <v>17</v>
      </c>
      <c r="D7" s="3"/>
    </row>
    <row r="8" spans="1:4" x14ac:dyDescent="0.25">
      <c r="A8" s="4"/>
      <c r="B8" s="3"/>
      <c r="C8" s="3"/>
      <c r="D8" s="3"/>
    </row>
    <row r="9" spans="1:4" x14ac:dyDescent="0.25">
      <c r="A9" s="1"/>
    </row>
    <row r="10" spans="1:4" x14ac:dyDescent="0.25">
      <c r="A10" s="4" t="s">
        <v>75</v>
      </c>
      <c r="B10" s="3"/>
      <c r="C10" s="3"/>
      <c r="D10"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AddFailureMode">
                <anchor moveWithCells="1" sizeWithCells="1">
                  <from>
                    <xdr:col>0</xdr:col>
                    <xdr:colOff>314325</xdr:colOff>
                    <xdr:row>12</xdr:row>
                    <xdr:rowOff>28575</xdr:rowOff>
                  </from>
                  <to>
                    <xdr:col>2</xdr:col>
                    <xdr:colOff>676275</xdr:colOff>
                    <xdr:row>13</xdr:row>
                    <xdr:rowOff>104775</xdr:rowOff>
                  </to>
                </anchor>
              </controlPr>
            </control>
          </mc:Choice>
        </mc:AlternateContent>
        <mc:AlternateContent xmlns:mc="http://schemas.openxmlformats.org/markup-compatibility/2006">
          <mc:Choice Requires="x14">
            <control shapeId="77826" r:id="rId5" name="Button 2">
              <controlPr defaultSize="0" print="0" autoFill="0" autoPict="0" macro="[0]!AddFragilityCurve">
                <anchor moveWithCells="1" sizeWithCells="1">
                  <from>
                    <xdr:col>0</xdr:col>
                    <xdr:colOff>314325</xdr:colOff>
                    <xdr:row>13</xdr:row>
                    <xdr:rowOff>180975</xdr:rowOff>
                  </from>
                  <to>
                    <xdr:col>2</xdr:col>
                    <xdr:colOff>666750</xdr:colOff>
                    <xdr:row>15</xdr:row>
                    <xdr:rowOff>57150</xdr:rowOff>
                  </to>
                </anchor>
              </controlPr>
            </control>
          </mc:Choice>
        </mc:AlternateContent>
        <mc:AlternateContent xmlns:mc="http://schemas.openxmlformats.org/markup-compatibility/2006">
          <mc:Choice Requires="x14">
            <control shapeId="77827" r:id="rId6" name="Button 3">
              <controlPr defaultSize="0" print="0" autoFill="0" autoPict="0" macro="[0]!AddStatisticalDistribution">
                <anchor moveWithCells="1" sizeWithCells="1">
                  <from>
                    <xdr:col>1</xdr:col>
                    <xdr:colOff>0</xdr:colOff>
                    <xdr:row>10</xdr:row>
                    <xdr:rowOff>76200</xdr:rowOff>
                  </from>
                  <to>
                    <xdr:col>3</xdr:col>
                    <xdr:colOff>0</xdr:colOff>
                    <xdr:row>11</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BBF92-54F4-4424-B57E-B072AE5B1F82}">
  <sheetPr codeName="Sheet25"/>
  <dimension ref="B1:C3"/>
  <sheetViews>
    <sheetView workbookViewId="0"/>
  </sheetViews>
  <sheetFormatPr defaultRowHeight="15.75" x14ac:dyDescent="0.25"/>
  <cols>
    <col min="1" max="1" width="3.625" customWidth="1"/>
    <col min="2" max="2" width="23.625" bestFit="1" customWidth="1"/>
    <col min="3" max="3" width="23.625" customWidth="1"/>
  </cols>
  <sheetData>
    <row r="1" spans="2:3" ht="21" customHeight="1" x14ac:dyDescent="0.25"/>
    <row r="2" spans="2:3" ht="21" customHeight="1" x14ac:dyDescent="0.25"/>
    <row r="3" spans="2:3" x14ac:dyDescent="0.25">
      <c r="B3" s="1" t="s">
        <v>31</v>
      </c>
      <c r="C3" s="1" t="s">
        <v>30</v>
      </c>
    </row>
  </sheetData>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44069" r:id="rId3" name="Select All">
              <controlPr defaultSize="0" autoFill="0" autoLine="0" autoPict="0" macro="[0]!SelectAll_Click">
                <anchor moveWithCells="1">
                  <from>
                    <xdr:col>0</xdr:col>
                    <xdr:colOff>0</xdr:colOff>
                    <xdr:row>2</xdr:row>
                    <xdr:rowOff>0</xdr:rowOff>
                  </from>
                  <to>
                    <xdr:col>1</xdr:col>
                    <xdr:colOff>19050</xdr:colOff>
                    <xdr:row>3</xdr:row>
                    <xdr:rowOff>9525</xdr:rowOff>
                  </to>
                </anchor>
              </controlPr>
            </control>
          </mc:Choice>
        </mc:AlternateContent>
        <mc:AlternateContent xmlns:mc="http://schemas.openxmlformats.org/markup-compatibility/2006">
          <mc:Choice Requires="x14">
            <control shapeId="44082" r:id="rId4" name="Button 1603">
              <controlPr defaultSize="0" disabled="1" autoFill="0" autoPict="0" macro="[0]!AddComponent">
                <anchor>
                  <from>
                    <xdr:col>1</xdr:col>
                    <xdr:colOff>19050</xdr:colOff>
                    <xdr:row>0</xdr:row>
                    <xdr:rowOff>47625</xdr:rowOff>
                  </from>
                  <to>
                    <xdr:col>1</xdr:col>
                    <xdr:colOff>476250</xdr:colOff>
                    <xdr:row>1</xdr:row>
                    <xdr:rowOff>238125</xdr:rowOff>
                  </to>
                </anchor>
              </controlPr>
            </control>
          </mc:Choice>
        </mc:AlternateContent>
        <mc:AlternateContent xmlns:mc="http://schemas.openxmlformats.org/markup-compatibility/2006">
          <mc:Choice Requires="x14">
            <control shapeId="44083" r:id="rId5" name="Button 1549">
              <controlPr defaultSize="0" autoFill="0" autoPict="0" macro="[0]!DeleteCheckboxandRow">
                <anchor>
                  <from>
                    <xdr:col>1</xdr:col>
                    <xdr:colOff>542925</xdr:colOff>
                    <xdr:row>0</xdr:row>
                    <xdr:rowOff>47625</xdr:rowOff>
                  </from>
                  <to>
                    <xdr:col>1</xdr:col>
                    <xdr:colOff>1000125</xdr:colOff>
                    <xdr:row>1</xdr:row>
                    <xdr:rowOff>238125</xdr:rowOff>
                  </to>
                </anchor>
              </controlPr>
            </control>
          </mc:Choice>
        </mc:AlternateContent>
        <mc:AlternateContent xmlns:mc="http://schemas.openxmlformats.org/markup-compatibility/2006">
          <mc:Choice Requires="x14">
            <control shapeId="44084" r:id="rId6" name="Button 1705">
              <controlPr defaultSize="0" autoFill="0" autoPict="0" macro="[0]!DoNothing">
                <anchor>
                  <from>
                    <xdr:col>1</xdr:col>
                    <xdr:colOff>542925</xdr:colOff>
                    <xdr:row>0</xdr:row>
                    <xdr:rowOff>47625</xdr:rowOff>
                  </from>
                  <to>
                    <xdr:col>1</xdr:col>
                    <xdr:colOff>1000125</xdr:colOff>
                    <xdr:row>1</xdr:row>
                    <xdr:rowOff>238125</xdr:rowOff>
                  </to>
                </anchor>
              </controlPr>
            </control>
          </mc:Choice>
        </mc:AlternateContent>
        <mc:AlternateContent xmlns:mc="http://schemas.openxmlformats.org/markup-compatibility/2006">
          <mc:Choice Requires="x14">
            <control shapeId="44086" r:id="rId7" name="Button 54">
              <controlPr defaultSize="0" autoFill="0" autoPict="0" macro="[0]!DoNothing">
                <anchor>
                  <from>
                    <xdr:col>1</xdr:col>
                    <xdr:colOff>1066800</xdr:colOff>
                    <xdr:row>0</xdr:row>
                    <xdr:rowOff>47625</xdr:rowOff>
                  </from>
                  <to>
                    <xdr:col>1</xdr:col>
                    <xdr:colOff>1524000</xdr:colOff>
                    <xdr:row>1</xdr:row>
                    <xdr:rowOff>238125</xdr:rowOff>
                  </to>
                </anchor>
              </controlPr>
            </control>
          </mc:Choice>
        </mc:AlternateContent>
        <mc:AlternateContent xmlns:mc="http://schemas.openxmlformats.org/markup-compatibility/2006">
          <mc:Choice Requires="x14">
            <control shapeId="44087" r:id="rId8" name="Button 55">
              <controlPr defaultSize="0" autoFill="0" autoPict="0" macro="[0]!EditItem">
                <anchor>
                  <from>
                    <xdr:col>1</xdr:col>
                    <xdr:colOff>1066800</xdr:colOff>
                    <xdr:row>0</xdr:row>
                    <xdr:rowOff>47625</xdr:rowOff>
                  </from>
                  <to>
                    <xdr:col>1</xdr:col>
                    <xdr:colOff>1524000</xdr:colOff>
                    <xdr:row>1</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0216F-7895-4EF2-B1DD-1EC90A31C953}">
  <sheetPr codeName="Sheet27"/>
  <dimension ref="B1:E3"/>
  <sheetViews>
    <sheetView workbookViewId="0"/>
  </sheetViews>
  <sheetFormatPr defaultRowHeight="15.75" x14ac:dyDescent="0.25"/>
  <cols>
    <col min="1" max="1" width="3.625" customWidth="1"/>
    <col min="2" max="5" width="23.625" customWidth="1"/>
  </cols>
  <sheetData>
    <row r="1" spans="2:5" ht="21" customHeight="1" x14ac:dyDescent="0.25"/>
    <row r="2" spans="2:5" ht="21" customHeight="1" x14ac:dyDescent="0.25"/>
    <row r="3" spans="2:5" x14ac:dyDescent="0.25">
      <c r="B3" s="1" t="s">
        <v>65</v>
      </c>
      <c r="C3" s="1" t="s">
        <v>66</v>
      </c>
      <c r="D3" s="1" t="s">
        <v>67</v>
      </c>
      <c r="E3" s="1" t="s">
        <v>68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6091" r:id="rId3" name="Select All">
              <controlPr defaultSize="0" autoFill="0" autoLine="0" autoPict="0" macro="[0]!SelectAll_Click">
                <anchor moveWithCells="1">
                  <from>
                    <xdr:col>0</xdr:col>
                    <xdr:colOff>0</xdr:colOff>
                    <xdr:row>2</xdr:row>
                    <xdr:rowOff>0</xdr:rowOff>
                  </from>
                  <to>
                    <xdr:col>1</xdr:col>
                    <xdr:colOff>19050</xdr:colOff>
                    <xdr:row>3</xdr:row>
                    <xdr:rowOff>9525</xdr:rowOff>
                  </to>
                </anchor>
              </controlPr>
            </control>
          </mc:Choice>
        </mc:AlternateContent>
        <mc:AlternateContent xmlns:mc="http://schemas.openxmlformats.org/markup-compatibility/2006">
          <mc:Choice Requires="x14">
            <control shapeId="46098" r:id="rId4" name="Button 1603">
              <controlPr defaultSize="0" disabled="1" autoFill="0" autoPict="0" macro="[0]!AddNetworkLink">
                <anchor>
                  <from>
                    <xdr:col>1</xdr:col>
                    <xdr:colOff>19050</xdr:colOff>
                    <xdr:row>0</xdr:row>
                    <xdr:rowOff>47625</xdr:rowOff>
                  </from>
                  <to>
                    <xdr:col>1</xdr:col>
                    <xdr:colOff>476250</xdr:colOff>
                    <xdr:row>1</xdr:row>
                    <xdr:rowOff>238125</xdr:rowOff>
                  </to>
                </anchor>
              </controlPr>
            </control>
          </mc:Choice>
        </mc:AlternateContent>
        <mc:AlternateContent xmlns:mc="http://schemas.openxmlformats.org/markup-compatibility/2006">
          <mc:Choice Requires="x14">
            <control shapeId="46099" r:id="rId5" name="Button 1549">
              <controlPr defaultSize="0" autoFill="0" autoPict="0" macro="[0]!DeleteCheckboxandRow">
                <anchor>
                  <from>
                    <xdr:col>1</xdr:col>
                    <xdr:colOff>542925</xdr:colOff>
                    <xdr:row>0</xdr:row>
                    <xdr:rowOff>47625</xdr:rowOff>
                  </from>
                  <to>
                    <xdr:col>1</xdr:col>
                    <xdr:colOff>1000125</xdr:colOff>
                    <xdr:row>1</xdr:row>
                    <xdr:rowOff>238125</xdr:rowOff>
                  </to>
                </anchor>
              </controlPr>
            </control>
          </mc:Choice>
        </mc:AlternateContent>
        <mc:AlternateContent xmlns:mc="http://schemas.openxmlformats.org/markup-compatibility/2006">
          <mc:Choice Requires="x14">
            <control shapeId="46100" r:id="rId6" name="Button 1705">
              <controlPr defaultSize="0" autoFill="0" autoPict="0">
                <anchor>
                  <from>
                    <xdr:col>1</xdr:col>
                    <xdr:colOff>542925</xdr:colOff>
                    <xdr:row>0</xdr:row>
                    <xdr:rowOff>47625</xdr:rowOff>
                  </from>
                  <to>
                    <xdr:col>1</xdr:col>
                    <xdr:colOff>1000125</xdr:colOff>
                    <xdr:row>1</xdr:row>
                    <xdr:rowOff>238125</xdr:rowOff>
                  </to>
                </anchor>
              </controlPr>
            </control>
          </mc:Choice>
        </mc:AlternateContent>
        <mc:AlternateContent xmlns:mc="http://schemas.openxmlformats.org/markup-compatibility/2006">
          <mc:Choice Requires="x14">
            <control shapeId="46101" r:id="rId7" name="Button 21">
              <controlPr defaultSize="0" autoFill="0" autoPict="0" macro="[0]!EditItem">
                <anchor>
                  <from>
                    <xdr:col>1</xdr:col>
                    <xdr:colOff>1066800</xdr:colOff>
                    <xdr:row>0</xdr:row>
                    <xdr:rowOff>47625</xdr:rowOff>
                  </from>
                  <to>
                    <xdr:col>1</xdr:col>
                    <xdr:colOff>1524000</xdr:colOff>
                    <xdr:row>1</xdr:row>
                    <xdr:rowOff>238125</xdr:rowOff>
                  </to>
                </anchor>
              </controlPr>
            </control>
          </mc:Choice>
        </mc:AlternateContent>
        <mc:AlternateContent xmlns:mc="http://schemas.openxmlformats.org/markup-compatibility/2006">
          <mc:Choice Requires="x14">
            <control shapeId="46102" r:id="rId8" name="Button 22">
              <controlPr defaultSize="0" autoFill="0" autoPict="0" macro="[0]!DoNothing">
                <anchor>
                  <from>
                    <xdr:col>1</xdr:col>
                    <xdr:colOff>1066800</xdr:colOff>
                    <xdr:row>0</xdr:row>
                    <xdr:rowOff>47625</xdr:rowOff>
                  </from>
                  <to>
                    <xdr:col>1</xdr:col>
                    <xdr:colOff>1524000</xdr:colOff>
                    <xdr:row>1</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B6F09-48DB-4268-88E9-05C33ACBCB31}">
  <sheetPr codeName="Sheet26"/>
  <dimension ref="B1:B3"/>
  <sheetViews>
    <sheetView workbookViewId="0"/>
  </sheetViews>
  <sheetFormatPr defaultRowHeight="15.75" x14ac:dyDescent="0.25"/>
  <cols>
    <col min="1" max="1" width="3.625" customWidth="1"/>
    <col min="2" max="2" width="23.625" customWidth="1"/>
  </cols>
  <sheetData>
    <row r="1" spans="2:2" ht="21" customHeight="1" x14ac:dyDescent="0.25"/>
    <row r="2" spans="2:2" ht="21" customHeight="1" x14ac:dyDescent="0.25"/>
    <row r="3" spans="2:2" x14ac:dyDescent="0.25">
      <c r="B3" s="1" t="s">
        <v>32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5082" r:id="rId3" name="Select All">
              <controlPr defaultSize="0" autoFill="0" autoLine="0" autoPict="0" macro="[0]!SelectAll_Click">
                <anchor moveWithCells="1">
                  <from>
                    <xdr:col>0</xdr:col>
                    <xdr:colOff>0</xdr:colOff>
                    <xdr:row>2</xdr:row>
                    <xdr:rowOff>0</xdr:rowOff>
                  </from>
                  <to>
                    <xdr:col>1</xdr:col>
                    <xdr:colOff>19050</xdr:colOff>
                    <xdr:row>3</xdr:row>
                    <xdr:rowOff>9525</xdr:rowOff>
                  </to>
                </anchor>
              </controlPr>
            </control>
          </mc:Choice>
        </mc:AlternateContent>
        <mc:AlternateContent xmlns:mc="http://schemas.openxmlformats.org/markup-compatibility/2006">
          <mc:Choice Requires="x14">
            <control shapeId="45097" r:id="rId4" name="Button 1603">
              <controlPr defaultSize="0" disabled="1" autoFill="0" autoPict="0" macro="[0]!AddScenario">
                <anchor>
                  <from>
                    <xdr:col>1</xdr:col>
                    <xdr:colOff>19050</xdr:colOff>
                    <xdr:row>0</xdr:row>
                    <xdr:rowOff>47625</xdr:rowOff>
                  </from>
                  <to>
                    <xdr:col>1</xdr:col>
                    <xdr:colOff>476250</xdr:colOff>
                    <xdr:row>1</xdr:row>
                    <xdr:rowOff>238125</xdr:rowOff>
                  </to>
                </anchor>
              </controlPr>
            </control>
          </mc:Choice>
        </mc:AlternateContent>
        <mc:AlternateContent xmlns:mc="http://schemas.openxmlformats.org/markup-compatibility/2006">
          <mc:Choice Requires="x14">
            <control shapeId="45098" r:id="rId5" name="Button 1549">
              <controlPr defaultSize="0" autoFill="0" autoPict="0" macro="[0]!DeleteCheckboxandRow">
                <anchor>
                  <from>
                    <xdr:col>1</xdr:col>
                    <xdr:colOff>542925</xdr:colOff>
                    <xdr:row>0</xdr:row>
                    <xdr:rowOff>47625</xdr:rowOff>
                  </from>
                  <to>
                    <xdr:col>1</xdr:col>
                    <xdr:colOff>1000125</xdr:colOff>
                    <xdr:row>1</xdr:row>
                    <xdr:rowOff>238125</xdr:rowOff>
                  </to>
                </anchor>
              </controlPr>
            </control>
          </mc:Choice>
        </mc:AlternateContent>
        <mc:AlternateContent xmlns:mc="http://schemas.openxmlformats.org/markup-compatibility/2006">
          <mc:Choice Requires="x14">
            <control shapeId="45099" r:id="rId6" name="Button 1460">
              <controlPr defaultSize="0" autoFill="0" autoPict="0" macro="[0]!_xludf.Run">
                <anchor>
                  <from>
                    <xdr:col>2</xdr:col>
                    <xdr:colOff>57150</xdr:colOff>
                    <xdr:row>0</xdr:row>
                    <xdr:rowOff>47625</xdr:rowOff>
                  </from>
                  <to>
                    <xdr:col>2</xdr:col>
                    <xdr:colOff>514350</xdr:colOff>
                    <xdr:row>1</xdr:row>
                    <xdr:rowOff>238125</xdr:rowOff>
                  </to>
                </anchor>
              </controlPr>
            </control>
          </mc:Choice>
        </mc:AlternateContent>
        <mc:AlternateContent xmlns:mc="http://schemas.openxmlformats.org/markup-compatibility/2006">
          <mc:Choice Requires="x14">
            <control shapeId="45100" r:id="rId7" name="Button 1705">
              <controlPr defaultSize="0" autoFill="0" autoPict="0">
                <anchor>
                  <from>
                    <xdr:col>1</xdr:col>
                    <xdr:colOff>542925</xdr:colOff>
                    <xdr:row>0</xdr:row>
                    <xdr:rowOff>47625</xdr:rowOff>
                  </from>
                  <to>
                    <xdr:col>1</xdr:col>
                    <xdr:colOff>1000125</xdr:colOff>
                    <xdr:row>1</xdr:row>
                    <xdr:rowOff>238125</xdr:rowOff>
                  </to>
                </anchor>
              </controlPr>
            </control>
          </mc:Choice>
        </mc:AlternateContent>
        <mc:AlternateContent xmlns:mc="http://schemas.openxmlformats.org/markup-compatibility/2006">
          <mc:Choice Requires="x14">
            <control shapeId="45103" r:id="rId8" name="Button 1547">
              <controlPr defaultSize="0" autoFill="0" autoPict="0" macro="[0]!ClearResults">
                <anchor>
                  <from>
                    <xdr:col>3</xdr:col>
                    <xdr:colOff>133350</xdr:colOff>
                    <xdr:row>0</xdr:row>
                    <xdr:rowOff>47625</xdr:rowOff>
                  </from>
                  <to>
                    <xdr:col>3</xdr:col>
                    <xdr:colOff>590550</xdr:colOff>
                    <xdr:row>1</xdr:row>
                    <xdr:rowOff>238125</xdr:rowOff>
                  </to>
                </anchor>
              </controlPr>
            </control>
          </mc:Choice>
        </mc:AlternateContent>
        <mc:AlternateContent xmlns:mc="http://schemas.openxmlformats.org/markup-compatibility/2006">
          <mc:Choice Requires="x14">
            <control shapeId="45104" r:id="rId9" name="Button 48">
              <controlPr defaultSize="0" autoFill="0" autoPict="0" macro="[0]!DoNothing">
                <anchor>
                  <from>
                    <xdr:col>1</xdr:col>
                    <xdr:colOff>1066800</xdr:colOff>
                    <xdr:row>0</xdr:row>
                    <xdr:rowOff>47625</xdr:rowOff>
                  </from>
                  <to>
                    <xdr:col>1</xdr:col>
                    <xdr:colOff>1524000</xdr:colOff>
                    <xdr:row>1</xdr:row>
                    <xdr:rowOff>238125</xdr:rowOff>
                  </to>
                </anchor>
              </controlPr>
            </control>
          </mc:Choice>
        </mc:AlternateContent>
        <mc:AlternateContent xmlns:mc="http://schemas.openxmlformats.org/markup-compatibility/2006">
          <mc:Choice Requires="x14">
            <control shapeId="45105" r:id="rId10" name="Button 49">
              <controlPr defaultSize="0" autoFill="0" autoPict="0" macro="[0]!EditItem">
                <anchor>
                  <from>
                    <xdr:col>1</xdr:col>
                    <xdr:colOff>1066800</xdr:colOff>
                    <xdr:row>0</xdr:row>
                    <xdr:rowOff>47625</xdr:rowOff>
                  </from>
                  <to>
                    <xdr:col>1</xdr:col>
                    <xdr:colOff>1524000</xdr:colOff>
                    <xdr:row>1</xdr:row>
                    <xdr:rowOff>238125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36B5F-3F09-4A7F-ACCB-F1A495EC1C0D}">
  <sheetPr codeName="Sheet4"/>
  <dimension ref="A1:A37"/>
  <sheetViews>
    <sheetView workbookViewId="0">
      <selection activeCell="A33" sqref="A33"/>
    </sheetView>
  </sheetViews>
  <sheetFormatPr defaultColWidth="11" defaultRowHeight="15.75" x14ac:dyDescent="0.25"/>
  <sheetData>
    <row r="1" spans="1:1" x14ac:dyDescent="0.25">
      <c r="A1" t="s">
        <v>35</v>
      </c>
    </row>
    <row r="2" spans="1:1" x14ac:dyDescent="0.25">
      <c r="A2" t="s">
        <v>36</v>
      </c>
    </row>
    <row r="3" spans="1:1" x14ac:dyDescent="0.25">
      <c r="A3" t="s">
        <v>37</v>
      </c>
    </row>
    <row r="5" spans="1:1" x14ac:dyDescent="0.25">
      <c r="A5" t="s">
        <v>38</v>
      </c>
    </row>
    <row r="6" spans="1:1" x14ac:dyDescent="0.25">
      <c r="A6" t="s">
        <v>39</v>
      </c>
    </row>
    <row r="7" spans="1:1" x14ac:dyDescent="0.25">
      <c r="A7" t="s">
        <v>40</v>
      </c>
    </row>
    <row r="8" spans="1:1" x14ac:dyDescent="0.25">
      <c r="A8" t="s">
        <v>55</v>
      </c>
    </row>
    <row r="9" spans="1:1" x14ac:dyDescent="0.25">
      <c r="A9" t="s">
        <v>56</v>
      </c>
    </row>
    <row r="10" spans="1:1" x14ac:dyDescent="0.25">
      <c r="A10" t="s">
        <v>41</v>
      </c>
    </row>
    <row r="11" spans="1:1" x14ac:dyDescent="0.25">
      <c r="A11" t="s">
        <v>42</v>
      </c>
    </row>
    <row r="12" spans="1:1" x14ac:dyDescent="0.25">
      <c r="A12" t="s">
        <v>43</v>
      </c>
    </row>
    <row r="13" spans="1:1" x14ac:dyDescent="0.25">
      <c r="A13" t="s">
        <v>57</v>
      </c>
    </row>
    <row r="14" spans="1:1" x14ac:dyDescent="0.25">
      <c r="A14" t="s">
        <v>0</v>
      </c>
    </row>
    <row r="15" spans="1:1" x14ac:dyDescent="0.25">
      <c r="A15" t="s">
        <v>58</v>
      </c>
    </row>
    <row r="16" spans="1:1" s="3" customFormat="1" x14ac:dyDescent="0.25">
      <c r="A16" s="3" t="s">
        <v>80</v>
      </c>
    </row>
    <row r="17" spans="1:1" x14ac:dyDescent="0.25">
      <c r="A17" t="s">
        <v>2</v>
      </c>
    </row>
    <row r="18" spans="1:1" s="3" customFormat="1" x14ac:dyDescent="0.25">
      <c r="A18" s="3" t="s">
        <v>44</v>
      </c>
    </row>
    <row r="19" spans="1:1" x14ac:dyDescent="0.25">
      <c r="A19" t="s">
        <v>81</v>
      </c>
    </row>
    <row r="21" spans="1:1" x14ac:dyDescent="0.25">
      <c r="A21" t="s">
        <v>64</v>
      </c>
    </row>
    <row r="22" spans="1:1" x14ac:dyDescent="0.25">
      <c r="A22" t="s">
        <v>1</v>
      </c>
    </row>
    <row r="23" spans="1:1" s="3" customFormat="1" x14ac:dyDescent="0.25">
      <c r="A23" s="3" t="s">
        <v>142</v>
      </c>
    </row>
    <row r="24" spans="1:1" s="3" customFormat="1" x14ac:dyDescent="0.25">
      <c r="A24" s="3" t="s">
        <v>143</v>
      </c>
    </row>
    <row r="25" spans="1:1" s="3" customFormat="1" x14ac:dyDescent="0.25">
      <c r="A25" s="3" t="s">
        <v>144</v>
      </c>
    </row>
    <row r="26" spans="1:1" x14ac:dyDescent="0.25">
      <c r="A26" t="s">
        <v>33</v>
      </c>
    </row>
    <row r="27" spans="1:1" x14ac:dyDescent="0.25">
      <c r="A27" t="s">
        <v>3</v>
      </c>
    </row>
    <row r="28" spans="1:1" x14ac:dyDescent="0.25">
      <c r="A28" t="s">
        <v>34</v>
      </c>
    </row>
    <row r="29" spans="1:1" x14ac:dyDescent="0.25">
      <c r="A29" t="s">
        <v>82</v>
      </c>
    </row>
    <row r="30" spans="1:1" x14ac:dyDescent="0.25">
      <c r="A30" t="s">
        <v>83</v>
      </c>
    </row>
    <row r="32" spans="1:1" x14ac:dyDescent="0.25">
      <c r="A32" t="s">
        <v>148</v>
      </c>
    </row>
    <row r="33" spans="1:1" x14ac:dyDescent="0.25">
      <c r="A33" t="s">
        <v>36</v>
      </c>
    </row>
    <row r="34" spans="1:1" x14ac:dyDescent="0.25">
      <c r="A34" t="s">
        <v>37</v>
      </c>
    </row>
    <row r="35" spans="1:1" x14ac:dyDescent="0.25">
      <c r="A35" t="s">
        <v>149</v>
      </c>
    </row>
    <row r="36" spans="1:1" x14ac:dyDescent="0.25">
      <c r="A36" t="s">
        <v>150</v>
      </c>
    </row>
    <row r="37" spans="1:1" x14ac:dyDescent="0.25">
      <c r="A37" t="s">
        <v>151</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C799A-EA7E-4A6D-97F4-DE2AF71590AA}">
  <sheetPr codeName="Sheet5"/>
  <dimension ref="A1:B1"/>
  <sheetViews>
    <sheetView workbookViewId="0">
      <selection activeCell="B8" sqref="B8"/>
    </sheetView>
  </sheetViews>
  <sheetFormatPr defaultColWidth="11" defaultRowHeight="15.75" x14ac:dyDescent="0.25"/>
  <cols>
    <col min="1" max="1" width="12.375" bestFit="1" customWidth="1"/>
    <col min="2" max="2" width="13.5" bestFit="1" customWidth="1"/>
  </cols>
  <sheetData>
    <row r="1" spans="1:2" x14ac:dyDescent="0.25">
      <c r="A1" s="2" t="s">
        <v>45</v>
      </c>
      <c r="B1" s="2" t="s">
        <v>46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EC286-E785-49C3-B69D-3F067A25481E}">
  <sheetPr codeName="Sheet9"/>
  <dimension ref="A1:B1"/>
  <sheetViews>
    <sheetView workbookViewId="0">
      <selection activeCell="B8" sqref="B8"/>
    </sheetView>
  </sheetViews>
  <sheetFormatPr defaultColWidth="11" defaultRowHeight="15.75" x14ac:dyDescent="0.25"/>
  <cols>
    <col min="1" max="1" width="12.375" bestFit="1" customWidth="1"/>
    <col min="2" max="2" width="9.375" bestFit="1" customWidth="1"/>
  </cols>
  <sheetData>
    <row r="1" spans="1:2" x14ac:dyDescent="0.25">
      <c r="A1" s="2" t="s">
        <v>45</v>
      </c>
      <c r="B1" s="2" t="s">
        <v>47</v>
      </c>
    </row>
  </sheetData>
  <pageMargins left="0.7" right="0.7" top="0.75" bottom="0.75" header="0.3" footer="0.3"/>
  <pageSetup paperSize="0" orientation="portrait" horizontalDpi="0" verticalDpi="0" copie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975AA-B272-4E7B-ABAF-46C18BF88EEF}">
  <sheetPr codeName="Sheet10"/>
  <dimension ref="A1:F1"/>
  <sheetViews>
    <sheetView workbookViewId="0">
      <selection activeCell="C2" sqref="C2"/>
    </sheetView>
  </sheetViews>
  <sheetFormatPr defaultColWidth="17" defaultRowHeight="15.75" x14ac:dyDescent="0.25"/>
  <sheetData>
    <row r="1" spans="1:6" x14ac:dyDescent="0.25">
      <c r="A1" t="s">
        <v>11</v>
      </c>
      <c r="B1" s="2" t="s">
        <v>14</v>
      </c>
      <c r="C1" s="2" t="s">
        <v>18</v>
      </c>
      <c r="D1" s="2" t="s">
        <v>15</v>
      </c>
      <c r="E1" s="2" t="s">
        <v>19</v>
      </c>
      <c r="F1" s="2" t="s">
        <v>20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24BED-DFE6-4880-9710-384B4DDFFE21}">
  <sheetPr codeName="Sheet11"/>
  <dimension ref="A1:C1"/>
  <sheetViews>
    <sheetView workbookViewId="0">
      <selection activeCell="C1" sqref="C1"/>
    </sheetView>
  </sheetViews>
  <sheetFormatPr defaultColWidth="11" defaultRowHeight="15.75" x14ac:dyDescent="0.25"/>
  <sheetData>
    <row r="1" spans="1:3" x14ac:dyDescent="0.25">
      <c r="A1" s="2" t="s">
        <v>9</v>
      </c>
      <c r="B1" s="2" t="s">
        <v>48</v>
      </c>
      <c r="C1" s="2" t="s">
        <v>49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4990B-8C92-43D9-AFFA-830100178B93}">
  <sheetPr codeName="Sheet23"/>
  <dimension ref="A1:H1"/>
  <sheetViews>
    <sheetView topLeftCell="D1" workbookViewId="0">
      <selection activeCell="H22" sqref="H22"/>
    </sheetView>
  </sheetViews>
  <sheetFormatPr defaultRowHeight="15.75" x14ac:dyDescent="0.25"/>
  <cols>
    <col min="1" max="10" width="18.125" customWidth="1"/>
  </cols>
  <sheetData>
    <row r="1" spans="1:8" x14ac:dyDescent="0.25">
      <c r="A1" t="s">
        <v>11</v>
      </c>
      <c r="B1" t="s">
        <v>14</v>
      </c>
      <c r="C1" t="s">
        <v>18</v>
      </c>
      <c r="D1" t="s">
        <v>59</v>
      </c>
      <c r="E1" t="s">
        <v>60</v>
      </c>
      <c r="F1" t="s">
        <v>19</v>
      </c>
      <c r="G1" t="s">
        <v>61</v>
      </c>
      <c r="H1" t="s">
        <v>62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49FAA-5870-4F79-AE74-53BA0BBE0B8A}">
  <sheetPr codeName="Sheet12"/>
  <dimension ref="A1:C1"/>
  <sheetViews>
    <sheetView workbookViewId="0"/>
  </sheetViews>
  <sheetFormatPr defaultColWidth="11" defaultRowHeight="15.75" x14ac:dyDescent="0.25"/>
  <sheetData>
    <row r="1" spans="1:3" x14ac:dyDescent="0.25">
      <c r="A1" s="2" t="s">
        <v>11</v>
      </c>
      <c r="B1" s="2" t="s">
        <v>154</v>
      </c>
      <c r="C1" s="2" t="s">
        <v>155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B39C6-70B8-4E0D-BE29-9B2B52100A5B}">
  <sheetPr codeName="Sheet28"/>
  <dimension ref="A1:B4"/>
  <sheetViews>
    <sheetView workbookViewId="0">
      <selection activeCell="A4" sqref="A4"/>
    </sheetView>
  </sheetViews>
  <sheetFormatPr defaultRowHeight="15.75" x14ac:dyDescent="0.25"/>
  <sheetData>
    <row r="1" spans="1:2" x14ac:dyDescent="0.25">
      <c r="A1" t="s">
        <v>11</v>
      </c>
      <c r="B1" t="s">
        <v>147</v>
      </c>
    </row>
    <row r="2" spans="1:2" x14ac:dyDescent="0.25">
      <c r="A2" s="3" t="s">
        <v>22</v>
      </c>
      <c r="B2" t="s">
        <v>36</v>
      </c>
    </row>
    <row r="3" spans="1:2" x14ac:dyDescent="0.25">
      <c r="A3" s="2" t="s">
        <v>69</v>
      </c>
      <c r="B3" t="s">
        <v>36</v>
      </c>
    </row>
    <row r="4" spans="1:2" x14ac:dyDescent="0.25">
      <c r="A4" s="3" t="s">
        <v>76</v>
      </c>
      <c r="B4" t="s">
        <v>36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F0670-9138-4D7B-BC30-85109F7D048C}">
  <sheetPr codeName="Sheet13"/>
  <dimension ref="A1:B4"/>
  <sheetViews>
    <sheetView workbookViewId="0">
      <selection activeCell="A5" sqref="A5"/>
    </sheetView>
  </sheetViews>
  <sheetFormatPr defaultColWidth="18.5" defaultRowHeight="15.75" x14ac:dyDescent="0.25"/>
  <sheetData>
    <row r="1" spans="1:2" x14ac:dyDescent="0.25">
      <c r="A1" s="2" t="s">
        <v>11</v>
      </c>
      <c r="B1" t="s">
        <v>21</v>
      </c>
    </row>
    <row r="2" spans="1:2" x14ac:dyDescent="0.25">
      <c r="A2" t="s">
        <v>22</v>
      </c>
      <c r="B2">
        <v>0</v>
      </c>
    </row>
    <row r="3" spans="1:2" x14ac:dyDescent="0.25">
      <c r="A3" s="2" t="s">
        <v>69</v>
      </c>
      <c r="B3">
        <v>262800</v>
      </c>
    </row>
    <row r="4" spans="1:2" x14ac:dyDescent="0.25">
      <c r="A4" t="s">
        <v>76</v>
      </c>
      <c r="B4">
        <v>87600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B44F4-538D-4114-8DA8-0063721E1B21}">
  <sheetPr codeName="Sheet29"/>
  <dimension ref="A1:C1"/>
  <sheetViews>
    <sheetView workbookViewId="0"/>
  </sheetViews>
  <sheetFormatPr defaultRowHeight="15.75" x14ac:dyDescent="0.25"/>
  <sheetData>
    <row r="1" spans="1:3" x14ac:dyDescent="0.25">
      <c r="A1" t="s">
        <v>11</v>
      </c>
      <c r="B1" t="s">
        <v>156</v>
      </c>
      <c r="C1" t="s">
        <v>157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047A30-2BA7-461C-88DF-6B808B8DCFD9}">
  <sheetPr codeName="Sheet30"/>
  <dimension ref="A1:C1"/>
  <sheetViews>
    <sheetView workbookViewId="0"/>
  </sheetViews>
  <sheetFormatPr defaultRowHeight="15.75" x14ac:dyDescent="0.25"/>
  <sheetData>
    <row r="1" spans="1:3" x14ac:dyDescent="0.25">
      <c r="A1" t="s">
        <v>11</v>
      </c>
      <c r="B1" t="s">
        <v>158</v>
      </c>
      <c r="C1" t="s">
        <v>159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FA8E2-F5F8-42B8-95D3-F417E6E040DD}">
  <sheetPr codeName="Sheet31"/>
  <dimension ref="A1:D1"/>
  <sheetViews>
    <sheetView workbookViewId="0"/>
  </sheetViews>
  <sheetFormatPr defaultRowHeight="15.75" x14ac:dyDescent="0.25"/>
  <sheetData>
    <row r="1" spans="1:4" x14ac:dyDescent="0.25">
      <c r="A1" t="s">
        <v>11</v>
      </c>
      <c r="B1" t="s">
        <v>152</v>
      </c>
      <c r="C1" t="s">
        <v>160</v>
      </c>
      <c r="D1" t="s">
        <v>161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384AF-3E32-4AC2-B12B-2ADC15E4798A}">
  <sheetPr codeName="Sheet32"/>
  <dimension ref="A1:B1"/>
  <sheetViews>
    <sheetView workbookViewId="0"/>
  </sheetViews>
  <sheetFormatPr defaultRowHeight="15.75" x14ac:dyDescent="0.25"/>
  <sheetData>
    <row r="1" spans="1:2" x14ac:dyDescent="0.25">
      <c r="A1" t="s">
        <v>11</v>
      </c>
      <c r="B1" t="s">
        <v>153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1E528-491D-42E1-BB08-3FB0895607B3}">
  <sheetPr codeName="Sheet14"/>
  <dimension ref="A1:D1"/>
  <sheetViews>
    <sheetView workbookViewId="0"/>
  </sheetViews>
  <sheetFormatPr defaultColWidth="16.875" defaultRowHeight="15.75" x14ac:dyDescent="0.25"/>
  <sheetData>
    <row r="1" spans="1:4" x14ac:dyDescent="0.25">
      <c r="A1" s="2" t="s">
        <v>11</v>
      </c>
      <c r="B1" t="s">
        <v>50</v>
      </c>
      <c r="C1" t="s">
        <v>51</v>
      </c>
      <c r="D1" t="s">
        <v>52</v>
      </c>
    </row>
  </sheetData>
  <phoneticPr fontId="2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6B502-A400-40A2-A7EB-E165DC7920E8}">
  <sheetPr codeName="Sheet15"/>
  <dimension ref="A1:C4"/>
  <sheetViews>
    <sheetView workbookViewId="0">
      <selection activeCell="H22" sqref="H22"/>
    </sheetView>
  </sheetViews>
  <sheetFormatPr defaultColWidth="28.375" defaultRowHeight="15.75" x14ac:dyDescent="0.25"/>
  <sheetData>
    <row r="1" spans="1:3" x14ac:dyDescent="0.25">
      <c r="A1" s="2" t="s">
        <v>6</v>
      </c>
      <c r="B1" t="s">
        <v>7</v>
      </c>
      <c r="C1" t="s">
        <v>8</v>
      </c>
    </row>
    <row r="2" spans="1:3" x14ac:dyDescent="0.25">
      <c r="A2">
        <f>Settings!C5</f>
        <v>100</v>
      </c>
      <c r="B2" t="str">
        <f>Settings!C6</f>
        <v>Auto</v>
      </c>
      <c r="C2">
        <f>Settings!C7</f>
        <v>17</v>
      </c>
    </row>
    <row r="3" spans="1:3" x14ac:dyDescent="0.25">
      <c r="A3" s="2"/>
    </row>
    <row r="4" spans="1:3" x14ac:dyDescent="0.25">
      <c r="A4" s="2"/>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CD2E6-26B6-4A68-AFD9-6DDB86C60C44}">
  <sheetPr codeName="Sheet16"/>
  <dimension ref="A1:C1"/>
  <sheetViews>
    <sheetView workbookViewId="0">
      <selection activeCell="H22" sqref="H22"/>
    </sheetView>
  </sheetViews>
  <sheetFormatPr defaultColWidth="16" defaultRowHeight="15.75" x14ac:dyDescent="0.25"/>
  <sheetData>
    <row r="1" spans="1:3" x14ac:dyDescent="0.25">
      <c r="A1" t="s">
        <v>11</v>
      </c>
      <c r="B1" s="2" t="s">
        <v>14</v>
      </c>
      <c r="C1" t="s">
        <v>18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4D61E-8773-486E-9496-2E63D1406B91}">
  <sheetPr codeName="Sheet1"/>
  <dimension ref="A1:AA7"/>
  <sheetViews>
    <sheetView workbookViewId="0"/>
  </sheetViews>
  <sheetFormatPr defaultRowHeight="15" x14ac:dyDescent="0.25"/>
  <cols>
    <col min="1" max="16384" width="9" style="6"/>
  </cols>
  <sheetData>
    <row r="1" spans="1:27" x14ac:dyDescent="0.25">
      <c r="A1" s="6" t="s">
        <v>87</v>
      </c>
      <c r="B1" s="6" t="s">
        <v>88</v>
      </c>
      <c r="C1" s="6" t="s">
        <v>89</v>
      </c>
      <c r="D1" s="6" t="s">
        <v>90</v>
      </c>
      <c r="E1" s="6" t="s">
        <v>91</v>
      </c>
      <c r="F1" s="6" t="s">
        <v>124</v>
      </c>
      <c r="G1" s="6" t="s">
        <v>125</v>
      </c>
      <c r="H1" s="6" t="s">
        <v>92</v>
      </c>
      <c r="I1" s="6" t="s">
        <v>93</v>
      </c>
      <c r="J1" s="6" t="s">
        <v>126</v>
      </c>
      <c r="K1" s="6" t="s">
        <v>127</v>
      </c>
      <c r="L1" s="6" t="s">
        <v>120</v>
      </c>
      <c r="M1" s="6" t="s">
        <v>121</v>
      </c>
      <c r="N1" s="6" t="s">
        <v>128</v>
      </c>
      <c r="O1" s="6" t="s">
        <v>129</v>
      </c>
      <c r="P1" s="6" t="s">
        <v>130</v>
      </c>
      <c r="Q1" s="6" t="s">
        <v>131</v>
      </c>
      <c r="R1" s="6" t="s">
        <v>132</v>
      </c>
      <c r="S1" s="6" t="s">
        <v>133</v>
      </c>
      <c r="T1" s="6" t="s">
        <v>134</v>
      </c>
      <c r="U1" s="6" t="s">
        <v>135</v>
      </c>
      <c r="V1" s="6" t="s">
        <v>94</v>
      </c>
      <c r="W1" s="6" t="s">
        <v>95</v>
      </c>
      <c r="X1" s="6" t="s">
        <v>96</v>
      </c>
      <c r="Y1" s="6" t="s">
        <v>97</v>
      </c>
      <c r="Z1" s="6" t="s">
        <v>98</v>
      </c>
      <c r="AA1" s="6" t="s">
        <v>99</v>
      </c>
    </row>
    <row r="2" spans="1:27" x14ac:dyDescent="0.25">
      <c r="A2" s="6" t="s">
        <v>86</v>
      </c>
      <c r="B2" s="6" t="s">
        <v>100</v>
      </c>
      <c r="C2" s="6">
        <v>0</v>
      </c>
      <c r="D2" s="6">
        <v>1000</v>
      </c>
      <c r="E2" s="6">
        <v>1000</v>
      </c>
      <c r="F2" s="6">
        <v>1000</v>
      </c>
      <c r="G2" s="6">
        <v>1000</v>
      </c>
      <c r="H2" s="6">
        <v>1000</v>
      </c>
      <c r="I2" s="6">
        <v>1000</v>
      </c>
      <c r="J2" s="6">
        <v>2000</v>
      </c>
      <c r="K2" s="6">
        <v>2000</v>
      </c>
      <c r="L2" s="6">
        <v>10</v>
      </c>
      <c r="M2" s="6">
        <v>10</v>
      </c>
      <c r="N2" s="6">
        <v>990</v>
      </c>
      <c r="O2" s="6">
        <v>990</v>
      </c>
      <c r="P2" s="6">
        <v>10</v>
      </c>
      <c r="Q2" s="6">
        <v>10</v>
      </c>
      <c r="R2" s="6">
        <v>1000</v>
      </c>
      <c r="S2" s="6">
        <v>1000</v>
      </c>
      <c r="T2" s="6">
        <v>0</v>
      </c>
      <c r="U2" s="6">
        <v>0</v>
      </c>
      <c r="V2" s="6">
        <v>2000</v>
      </c>
      <c r="W2" s="6">
        <v>2000</v>
      </c>
      <c r="X2" s="6">
        <v>1000</v>
      </c>
      <c r="Y2" s="6">
        <v>1000</v>
      </c>
      <c r="Z2" s="6">
        <v>1000</v>
      </c>
      <c r="AA2" s="6">
        <v>1000</v>
      </c>
    </row>
    <row r="3" spans="1:27" x14ac:dyDescent="0.25">
      <c r="A3" s="6" t="s">
        <v>86</v>
      </c>
      <c r="B3" s="6" t="s">
        <v>100</v>
      </c>
      <c r="C3" s="6">
        <v>0.100833333333333</v>
      </c>
      <c r="D3" s="6">
        <v>1000</v>
      </c>
      <c r="E3" s="6">
        <v>1000</v>
      </c>
      <c r="F3" s="6">
        <v>10</v>
      </c>
      <c r="G3" s="6">
        <v>1000</v>
      </c>
      <c r="H3" s="6">
        <v>1000</v>
      </c>
      <c r="I3" s="6">
        <v>1000</v>
      </c>
      <c r="J3" s="6">
        <v>2000</v>
      </c>
      <c r="K3" s="6">
        <v>2000</v>
      </c>
      <c r="L3" s="6">
        <v>10</v>
      </c>
      <c r="M3" s="6">
        <v>10</v>
      </c>
      <c r="N3" s="6">
        <v>990</v>
      </c>
      <c r="O3" s="6">
        <v>990</v>
      </c>
      <c r="P3" s="6">
        <v>10</v>
      </c>
      <c r="Q3" s="6">
        <v>10</v>
      </c>
      <c r="R3" s="6">
        <v>1000</v>
      </c>
      <c r="S3" s="6">
        <v>1000</v>
      </c>
      <c r="T3" s="6">
        <v>0</v>
      </c>
      <c r="U3" s="6">
        <v>0</v>
      </c>
      <c r="V3" s="6">
        <v>2000</v>
      </c>
      <c r="W3" s="6">
        <v>2000</v>
      </c>
      <c r="X3" s="6">
        <v>1000</v>
      </c>
      <c r="Y3" s="6">
        <v>1000</v>
      </c>
      <c r="Z3" s="6">
        <v>1000</v>
      </c>
      <c r="AA3" s="6">
        <v>1000</v>
      </c>
    </row>
    <row r="4" spans="1:27" x14ac:dyDescent="0.25">
      <c r="A4" s="6" t="s">
        <v>86</v>
      </c>
      <c r="B4" s="6" t="s">
        <v>100</v>
      </c>
      <c r="C4" s="6">
        <v>0.101111111111111</v>
      </c>
      <c r="D4" s="6">
        <v>1000</v>
      </c>
      <c r="E4" s="6">
        <v>1000</v>
      </c>
      <c r="F4" s="6">
        <v>10</v>
      </c>
      <c r="G4" s="6">
        <v>1000</v>
      </c>
      <c r="H4" s="6">
        <v>1000</v>
      </c>
      <c r="I4" s="6">
        <v>1000</v>
      </c>
      <c r="J4" s="6">
        <v>2000</v>
      </c>
      <c r="K4" s="6">
        <v>2000</v>
      </c>
      <c r="L4" s="6">
        <v>10</v>
      </c>
      <c r="M4" s="6">
        <v>10</v>
      </c>
      <c r="N4" s="6">
        <v>0</v>
      </c>
      <c r="O4" s="6">
        <v>990</v>
      </c>
      <c r="P4" s="6">
        <v>10</v>
      </c>
      <c r="Q4" s="6">
        <v>10</v>
      </c>
      <c r="R4" s="6">
        <v>10</v>
      </c>
      <c r="S4" s="6">
        <v>1000</v>
      </c>
      <c r="T4" s="6">
        <v>0</v>
      </c>
      <c r="U4" s="6">
        <v>0</v>
      </c>
      <c r="V4" s="6">
        <v>2000</v>
      </c>
      <c r="W4" s="6">
        <v>2000</v>
      </c>
      <c r="X4" s="6">
        <v>1000</v>
      </c>
      <c r="Y4" s="6">
        <v>1000</v>
      </c>
      <c r="Z4" s="6">
        <v>1000</v>
      </c>
      <c r="AA4" s="6">
        <v>1000</v>
      </c>
    </row>
    <row r="5" spans="1:27" x14ac:dyDescent="0.25">
      <c r="A5" s="6" t="s">
        <v>86</v>
      </c>
      <c r="B5" s="6" t="s">
        <v>100</v>
      </c>
      <c r="C5" s="6">
        <v>336</v>
      </c>
      <c r="D5" s="6">
        <v>0</v>
      </c>
      <c r="E5" s="6">
        <v>0</v>
      </c>
      <c r="F5" s="6">
        <v>0</v>
      </c>
      <c r="G5" s="6">
        <v>0</v>
      </c>
      <c r="H5" s="6">
        <v>0</v>
      </c>
      <c r="I5" s="6">
        <v>0</v>
      </c>
      <c r="J5" s="6">
        <v>0</v>
      </c>
      <c r="K5" s="6">
        <v>0</v>
      </c>
      <c r="L5" s="6">
        <v>10</v>
      </c>
      <c r="M5" s="6">
        <v>10</v>
      </c>
      <c r="N5" s="6">
        <v>0</v>
      </c>
      <c r="O5" s="6">
        <v>0</v>
      </c>
      <c r="P5" s="6">
        <v>10</v>
      </c>
      <c r="Q5" s="6">
        <v>10</v>
      </c>
      <c r="R5" s="6">
        <v>0</v>
      </c>
      <c r="S5" s="6">
        <v>0</v>
      </c>
      <c r="T5" s="6">
        <v>10</v>
      </c>
      <c r="U5" s="6">
        <v>10</v>
      </c>
      <c r="V5" s="6">
        <v>0</v>
      </c>
      <c r="W5" s="6">
        <v>0</v>
      </c>
      <c r="X5" s="6">
        <v>0</v>
      </c>
      <c r="Y5" s="6">
        <v>0</v>
      </c>
      <c r="Z5" s="6">
        <v>0</v>
      </c>
      <c r="AA5" s="6">
        <v>0</v>
      </c>
    </row>
    <row r="6" spans="1:27" x14ac:dyDescent="0.25">
      <c r="A6" s="6" t="s">
        <v>86</v>
      </c>
      <c r="B6" s="6" t="s">
        <v>100</v>
      </c>
      <c r="C6" s="6">
        <v>346</v>
      </c>
      <c r="D6" s="6">
        <v>0</v>
      </c>
      <c r="E6" s="6">
        <v>0</v>
      </c>
      <c r="F6" s="6">
        <v>0</v>
      </c>
      <c r="G6" s="6">
        <v>0</v>
      </c>
      <c r="H6" s="6">
        <v>0</v>
      </c>
      <c r="I6" s="6">
        <v>0</v>
      </c>
      <c r="J6" s="6">
        <v>0</v>
      </c>
      <c r="K6" s="6">
        <v>0</v>
      </c>
      <c r="L6" s="6">
        <v>0</v>
      </c>
      <c r="M6" s="6">
        <v>0</v>
      </c>
      <c r="N6" s="6">
        <v>0</v>
      </c>
      <c r="O6" s="6">
        <v>0</v>
      </c>
      <c r="P6" s="6">
        <v>0</v>
      </c>
      <c r="Q6" s="6">
        <v>0</v>
      </c>
      <c r="R6" s="6">
        <v>0</v>
      </c>
      <c r="S6" s="6">
        <v>0</v>
      </c>
      <c r="T6" s="6">
        <v>0</v>
      </c>
      <c r="U6" s="6">
        <v>0</v>
      </c>
      <c r="V6" s="6">
        <v>0</v>
      </c>
      <c r="W6" s="6">
        <v>0</v>
      </c>
      <c r="X6" s="6">
        <v>0</v>
      </c>
      <c r="Y6" s="6">
        <v>0</v>
      </c>
      <c r="Z6" s="6">
        <v>0</v>
      </c>
      <c r="AA6" s="6">
        <v>0</v>
      </c>
    </row>
    <row r="7" spans="1:27" x14ac:dyDescent="0.25">
      <c r="A7" s="6" t="s">
        <v>86</v>
      </c>
      <c r="B7" s="6" t="s">
        <v>100</v>
      </c>
      <c r="C7" s="6">
        <v>8760</v>
      </c>
      <c r="D7" s="6">
        <v>0</v>
      </c>
      <c r="E7" s="6">
        <v>0</v>
      </c>
      <c r="F7" s="6">
        <v>0</v>
      </c>
      <c r="G7" s="6">
        <v>0</v>
      </c>
      <c r="H7" s="6">
        <v>0</v>
      </c>
      <c r="I7" s="6">
        <v>0</v>
      </c>
      <c r="J7" s="6">
        <v>0</v>
      </c>
      <c r="K7" s="6">
        <v>0</v>
      </c>
      <c r="L7" s="6">
        <v>0</v>
      </c>
      <c r="M7" s="6">
        <v>0</v>
      </c>
      <c r="N7" s="6">
        <v>0</v>
      </c>
      <c r="O7" s="6">
        <v>0</v>
      </c>
      <c r="P7" s="6">
        <v>0</v>
      </c>
      <c r="Q7" s="6">
        <v>0</v>
      </c>
      <c r="R7" s="6">
        <v>0</v>
      </c>
      <c r="S7" s="6">
        <v>0</v>
      </c>
      <c r="T7" s="6">
        <v>0</v>
      </c>
      <c r="U7" s="6">
        <v>0</v>
      </c>
      <c r="V7" s="6">
        <v>0</v>
      </c>
      <c r="W7" s="6">
        <v>0</v>
      </c>
      <c r="X7" s="6">
        <v>0</v>
      </c>
      <c r="Y7" s="6">
        <v>0</v>
      </c>
      <c r="Z7" s="6">
        <v>0</v>
      </c>
      <c r="AA7" s="6">
        <v>0</v>
      </c>
    </row>
  </sheetData>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7F840-AA38-42F1-8F9A-9A4BFA7E02A2}">
  <sheetPr codeName="Sheet2"/>
  <dimension ref="A1:K18"/>
  <sheetViews>
    <sheetView workbookViewId="0"/>
  </sheetViews>
  <sheetFormatPr defaultRowHeight="15" x14ac:dyDescent="0.25"/>
  <cols>
    <col min="1" max="16384" width="9" style="6"/>
  </cols>
  <sheetData>
    <row r="1" spans="1:11" x14ac:dyDescent="0.25">
      <c r="A1" s="6" t="s">
        <v>87</v>
      </c>
      <c r="B1" s="6" t="s">
        <v>101</v>
      </c>
      <c r="C1" s="6" t="s">
        <v>102</v>
      </c>
      <c r="D1" s="6" t="s">
        <v>103</v>
      </c>
      <c r="E1" s="6" t="s">
        <v>104</v>
      </c>
      <c r="F1" s="6" t="s">
        <v>105</v>
      </c>
      <c r="G1" s="6" t="s">
        <v>106</v>
      </c>
      <c r="H1" s="6" t="s">
        <v>107</v>
      </c>
      <c r="I1" s="6" t="s">
        <v>108</v>
      </c>
      <c r="J1" s="6" t="s">
        <v>109</v>
      </c>
      <c r="K1" s="6" t="s">
        <v>136</v>
      </c>
    </row>
    <row r="2" spans="1:11" x14ac:dyDescent="0.25">
      <c r="A2" s="6" t="s">
        <v>86</v>
      </c>
      <c r="B2" s="6">
        <v>1</v>
      </c>
      <c r="C2" s="6">
        <v>8760</v>
      </c>
      <c r="D2" s="6" t="s">
        <v>84</v>
      </c>
      <c r="E2" s="6" t="s">
        <v>0</v>
      </c>
      <c r="F2" s="6" t="s">
        <v>1</v>
      </c>
      <c r="G2" s="6">
        <v>1</v>
      </c>
      <c r="H2" s="6">
        <v>0</v>
      </c>
      <c r="I2" s="6">
        <v>0</v>
      </c>
      <c r="J2" s="7">
        <v>1209600000</v>
      </c>
      <c r="K2" s="6">
        <v>0</v>
      </c>
    </row>
    <row r="3" spans="1:11" x14ac:dyDescent="0.25">
      <c r="A3" s="6" t="s">
        <v>86</v>
      </c>
      <c r="B3" s="6">
        <v>1</v>
      </c>
      <c r="C3" s="6">
        <v>8760</v>
      </c>
      <c r="D3" s="6" t="s">
        <v>122</v>
      </c>
      <c r="E3" s="6" t="s">
        <v>0</v>
      </c>
      <c r="F3" s="6" t="s">
        <v>3</v>
      </c>
      <c r="G3" s="6">
        <v>0.96165500000000004</v>
      </c>
      <c r="H3" s="6">
        <v>335.899</v>
      </c>
      <c r="I3" s="7">
        <v>1197140000</v>
      </c>
      <c r="J3" s="6">
        <v>0</v>
      </c>
      <c r="K3" s="7">
        <v>12455400</v>
      </c>
    </row>
    <row r="4" spans="1:11" x14ac:dyDescent="0.25">
      <c r="A4" s="6" t="s">
        <v>86</v>
      </c>
      <c r="B4" s="6">
        <v>1</v>
      </c>
      <c r="C4" s="6">
        <v>8760</v>
      </c>
      <c r="D4" s="6" t="s">
        <v>85</v>
      </c>
      <c r="E4" s="6" t="s">
        <v>0</v>
      </c>
      <c r="F4" s="6" t="s">
        <v>1</v>
      </c>
      <c r="G4" s="6">
        <v>1</v>
      </c>
      <c r="H4" s="6">
        <v>0</v>
      </c>
      <c r="I4" s="6">
        <v>0</v>
      </c>
      <c r="J4" s="7">
        <v>1209600000</v>
      </c>
      <c r="K4" s="6">
        <v>0</v>
      </c>
    </row>
    <row r="5" spans="1:11" x14ac:dyDescent="0.25">
      <c r="A5" s="6" t="s">
        <v>86</v>
      </c>
      <c r="B5" s="6">
        <v>1</v>
      </c>
      <c r="C5" s="6">
        <v>8760</v>
      </c>
      <c r="D5" s="6" t="s">
        <v>123</v>
      </c>
      <c r="E5" s="6" t="s">
        <v>2</v>
      </c>
      <c r="F5" s="6" t="s">
        <v>1</v>
      </c>
      <c r="G5" s="6">
        <v>1</v>
      </c>
      <c r="H5" s="6">
        <v>0</v>
      </c>
      <c r="I5" s="6">
        <v>0</v>
      </c>
      <c r="J5" s="7">
        <v>2419200000</v>
      </c>
      <c r="K5" s="6">
        <v>0</v>
      </c>
    </row>
    <row r="6" spans="1:11" x14ac:dyDescent="0.25">
      <c r="A6" s="6" t="s">
        <v>86</v>
      </c>
      <c r="B6" s="6">
        <v>1</v>
      </c>
      <c r="C6" s="6">
        <v>8760</v>
      </c>
      <c r="D6" s="6" t="s">
        <v>119</v>
      </c>
      <c r="E6" s="6" t="s">
        <v>2</v>
      </c>
      <c r="F6" s="6" t="s">
        <v>3</v>
      </c>
      <c r="G6" s="6">
        <v>1</v>
      </c>
      <c r="H6" s="6">
        <v>0</v>
      </c>
      <c r="I6" s="6">
        <v>0</v>
      </c>
      <c r="J6" s="6">
        <v>0</v>
      </c>
      <c r="K6" s="7">
        <v>12456000</v>
      </c>
    </row>
    <row r="7" spans="1:11" x14ac:dyDescent="0.25">
      <c r="A7" s="6" t="s">
        <v>86</v>
      </c>
      <c r="B7" s="6">
        <v>1</v>
      </c>
      <c r="C7" s="6">
        <v>8760</v>
      </c>
      <c r="D7" s="6" t="s">
        <v>137</v>
      </c>
      <c r="E7" s="6" t="s">
        <v>138</v>
      </c>
      <c r="F7" s="6" t="s">
        <v>3</v>
      </c>
      <c r="G7" s="6">
        <v>0.96165500000000004</v>
      </c>
      <c r="H7" s="6">
        <v>335.899</v>
      </c>
      <c r="I7" s="7">
        <v>1197140000</v>
      </c>
      <c r="J7" s="6">
        <v>0</v>
      </c>
      <c r="K7" s="6">
        <v>360360</v>
      </c>
    </row>
    <row r="8" spans="1:11" x14ac:dyDescent="0.25">
      <c r="A8" s="6" t="s">
        <v>86</v>
      </c>
      <c r="B8" s="6">
        <v>1</v>
      </c>
      <c r="C8" s="6">
        <v>8760</v>
      </c>
      <c r="D8" s="6" t="s">
        <v>139</v>
      </c>
      <c r="E8" s="6" t="s">
        <v>138</v>
      </c>
      <c r="F8" s="6" t="s">
        <v>3</v>
      </c>
      <c r="G8" s="6">
        <v>1</v>
      </c>
      <c r="H8" s="6">
        <v>0</v>
      </c>
      <c r="I8" s="6">
        <v>0</v>
      </c>
      <c r="J8" s="6">
        <v>0</v>
      </c>
      <c r="K8" s="7">
        <v>12456000</v>
      </c>
    </row>
    <row r="9" spans="1:11" x14ac:dyDescent="0.25">
      <c r="A9" s="6" t="s">
        <v>86</v>
      </c>
      <c r="B9" s="6">
        <v>1</v>
      </c>
      <c r="C9" s="6">
        <v>8760</v>
      </c>
      <c r="D9" s="6" t="s">
        <v>140</v>
      </c>
      <c r="E9" s="6" t="s">
        <v>138</v>
      </c>
      <c r="F9" s="6" t="s">
        <v>3</v>
      </c>
      <c r="G9" s="6">
        <v>0.96165500000000004</v>
      </c>
      <c r="H9" s="6">
        <v>335.899</v>
      </c>
      <c r="I9" s="7">
        <v>1197140000</v>
      </c>
      <c r="J9" s="6">
        <v>0</v>
      </c>
      <c r="K9" s="7">
        <v>12456400</v>
      </c>
    </row>
    <row r="10" spans="1:11" x14ac:dyDescent="0.25">
      <c r="A10" s="6" t="s">
        <v>86</v>
      </c>
      <c r="B10" s="6">
        <v>1</v>
      </c>
      <c r="C10" s="6">
        <v>8760</v>
      </c>
      <c r="D10" s="6" t="s">
        <v>141</v>
      </c>
      <c r="E10" s="6" t="s">
        <v>138</v>
      </c>
      <c r="F10" s="6" t="s">
        <v>3</v>
      </c>
      <c r="G10" s="6">
        <v>1</v>
      </c>
      <c r="H10" s="6">
        <v>0</v>
      </c>
      <c r="I10" s="6">
        <v>0</v>
      </c>
      <c r="J10" s="6">
        <v>0</v>
      </c>
      <c r="K10" s="6">
        <v>360000</v>
      </c>
    </row>
    <row r="11" spans="1:11" x14ac:dyDescent="0.25">
      <c r="A11" s="6" t="s">
        <v>86</v>
      </c>
      <c r="B11" s="6">
        <v>1</v>
      </c>
      <c r="C11" s="6">
        <v>8760</v>
      </c>
      <c r="D11" s="6" t="s">
        <v>110</v>
      </c>
      <c r="E11" s="6" t="s">
        <v>111</v>
      </c>
      <c r="F11" s="6" t="s">
        <v>1</v>
      </c>
      <c r="G11" s="6">
        <v>1</v>
      </c>
      <c r="H11" s="6">
        <v>0</v>
      </c>
      <c r="I11" s="6">
        <v>0</v>
      </c>
      <c r="J11" s="7">
        <v>2419200000</v>
      </c>
      <c r="K11" s="6">
        <v>0</v>
      </c>
    </row>
    <row r="12" spans="1:11" x14ac:dyDescent="0.25">
      <c r="A12" s="6" t="s">
        <v>86</v>
      </c>
      <c r="B12" s="6">
        <v>1</v>
      </c>
      <c r="C12" s="6">
        <v>8760</v>
      </c>
      <c r="D12" s="6" t="s">
        <v>112</v>
      </c>
      <c r="E12" s="6" t="s">
        <v>111</v>
      </c>
      <c r="F12" s="6" t="s">
        <v>1</v>
      </c>
      <c r="G12" s="6">
        <v>1</v>
      </c>
      <c r="H12" s="6">
        <v>0</v>
      </c>
      <c r="I12" s="6">
        <v>0</v>
      </c>
      <c r="J12" s="7">
        <v>1209600000</v>
      </c>
      <c r="K12" s="6">
        <v>0</v>
      </c>
    </row>
    <row r="13" spans="1:11" x14ac:dyDescent="0.25">
      <c r="A13" s="6" t="s">
        <v>86</v>
      </c>
      <c r="B13" s="6">
        <v>1</v>
      </c>
      <c r="C13" s="6">
        <v>8760</v>
      </c>
      <c r="D13" s="6" t="s">
        <v>113</v>
      </c>
      <c r="E13" s="6" t="s">
        <v>111</v>
      </c>
      <c r="F13" s="6" t="s">
        <v>1</v>
      </c>
      <c r="G13" s="6">
        <v>1</v>
      </c>
      <c r="H13" s="6">
        <v>0</v>
      </c>
      <c r="I13" s="6">
        <v>0</v>
      </c>
      <c r="J13" s="7">
        <v>1209600000</v>
      </c>
      <c r="K13" s="6">
        <v>0</v>
      </c>
    </row>
    <row r="14" spans="1:11" x14ac:dyDescent="0.25">
      <c r="A14" s="6" t="s">
        <v>86</v>
      </c>
      <c r="B14" s="6">
        <v>1</v>
      </c>
      <c r="C14" s="6">
        <v>8760</v>
      </c>
      <c r="D14" s="6" t="s">
        <v>114</v>
      </c>
      <c r="J14" s="7">
        <v>2419200000</v>
      </c>
      <c r="K14" s="7">
        <v>12456000</v>
      </c>
    </row>
    <row r="15" spans="1:11" x14ac:dyDescent="0.25">
      <c r="A15" s="6" t="s">
        <v>86</v>
      </c>
      <c r="B15" s="6">
        <v>1</v>
      </c>
      <c r="C15" s="6">
        <v>8760</v>
      </c>
      <c r="D15" s="6" t="s">
        <v>115</v>
      </c>
      <c r="J15" s="7">
        <v>2419200000</v>
      </c>
      <c r="K15" s="7">
        <v>12455400</v>
      </c>
    </row>
    <row r="16" spans="1:11" x14ac:dyDescent="0.25">
      <c r="A16" s="6" t="s">
        <v>86</v>
      </c>
      <c r="B16" s="6">
        <v>1</v>
      </c>
      <c r="C16" s="6">
        <v>8760</v>
      </c>
      <c r="D16" s="6" t="s">
        <v>116</v>
      </c>
      <c r="J16" s="6">
        <v>0</v>
      </c>
      <c r="K16" s="6">
        <v>-360</v>
      </c>
    </row>
    <row r="17" spans="1:11" x14ac:dyDescent="0.25">
      <c r="A17" s="6" t="s">
        <v>86</v>
      </c>
      <c r="B17" s="6">
        <v>1</v>
      </c>
      <c r="C17" s="6">
        <v>8760</v>
      </c>
      <c r="D17" s="6" t="s">
        <v>117</v>
      </c>
      <c r="J17" s="6">
        <v>0</v>
      </c>
      <c r="K17" s="6">
        <v>0</v>
      </c>
    </row>
    <row r="18" spans="1:11" x14ac:dyDescent="0.25">
      <c r="A18" s="6" t="s">
        <v>86</v>
      </c>
      <c r="B18" s="6">
        <v>1</v>
      </c>
      <c r="C18" s="6">
        <v>8760</v>
      </c>
      <c r="D18" s="6" t="s">
        <v>118</v>
      </c>
      <c r="E18" s="6">
        <v>990</v>
      </c>
    </row>
  </sheetData>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E765C-CBCD-4359-BE40-AAAD5D82CA6E}">
  <sheetPr codeName="Sheet17"/>
  <dimension ref="A1:E1"/>
  <sheetViews>
    <sheetView workbookViewId="0">
      <selection activeCell="C3" sqref="C3"/>
    </sheetView>
  </sheetViews>
  <sheetFormatPr defaultColWidth="11" defaultRowHeight="15.75" x14ac:dyDescent="0.25"/>
  <cols>
    <col min="2" max="2" width="11" style="3"/>
  </cols>
  <sheetData>
    <row r="1" spans="1:5" x14ac:dyDescent="0.25">
      <c r="A1" s="2" t="s">
        <v>9</v>
      </c>
      <c r="B1" s="2" t="s">
        <v>48</v>
      </c>
      <c r="C1" t="s">
        <v>45</v>
      </c>
      <c r="D1" t="s">
        <v>27</v>
      </c>
      <c r="E1" t="s">
        <v>10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5E93C6-CB6B-49BF-B7BD-7640C80FE47F}">
  <sheetPr codeName="Sheet7"/>
  <dimension ref="A1:E1"/>
  <sheetViews>
    <sheetView workbookViewId="0"/>
  </sheetViews>
  <sheetFormatPr defaultRowHeight="15" x14ac:dyDescent="0.25"/>
  <cols>
    <col min="1" max="16384" width="9" style="5"/>
  </cols>
  <sheetData>
    <row r="1" spans="1:5" x14ac:dyDescent="0.25">
      <c r="A1" s="5" t="s">
        <v>11</v>
      </c>
      <c r="B1" s="5" t="s">
        <v>14</v>
      </c>
      <c r="C1" s="5" t="s">
        <v>77</v>
      </c>
      <c r="D1" s="5" t="s">
        <v>78</v>
      </c>
      <c r="E1" s="5" t="s">
        <v>79</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46B977-6514-4DA1-8C96-76226BE973F2}">
  <sheetPr codeName="Sheet18"/>
  <dimension ref="A1:F18"/>
  <sheetViews>
    <sheetView workbookViewId="0">
      <selection activeCell="B14" sqref="B14"/>
    </sheetView>
  </sheetViews>
  <sheetFormatPr defaultColWidth="19.125" defaultRowHeight="15.75" x14ac:dyDescent="0.25"/>
  <sheetData>
    <row r="1" spans="1:6" x14ac:dyDescent="0.25">
      <c r="A1" t="s">
        <v>11</v>
      </c>
      <c r="B1" t="s">
        <v>14</v>
      </c>
      <c r="C1" t="s">
        <v>27</v>
      </c>
      <c r="D1" t="s">
        <v>53</v>
      </c>
      <c r="E1" t="s">
        <v>54</v>
      </c>
    </row>
    <row r="14" spans="1:6" x14ac:dyDescent="0.25">
      <c r="F14" s="2"/>
    </row>
    <row r="15" spans="1:6" x14ac:dyDescent="0.25">
      <c r="F15" s="2"/>
    </row>
    <row r="16" spans="1:6" x14ac:dyDescent="0.25">
      <c r="F16" s="2"/>
    </row>
    <row r="17" spans="6:6" x14ac:dyDescent="0.25">
      <c r="F17" s="2"/>
    </row>
    <row r="18" spans="6:6" x14ac:dyDescent="0.25">
      <c r="F18" s="2"/>
    </row>
  </sheetData>
  <pageMargins left="0.7" right="0.7" top="0.75" bottom="0.75" header="0.3" footer="0.3"/>
  <pageSetup paperSize="0" orientation="portrait" horizontalDpi="0" verticalDpi="0" copie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0A612A-72AD-4E43-A7FF-8013E414BAF2}">
  <sheetPr codeName="Sheet19"/>
  <dimension ref="A1:D1"/>
  <sheetViews>
    <sheetView workbookViewId="0">
      <selection activeCell="B21" sqref="B21"/>
    </sheetView>
  </sheetViews>
  <sheetFormatPr defaultColWidth="20.875" defaultRowHeight="15.75" x14ac:dyDescent="0.25"/>
  <sheetData>
    <row r="1" spans="1:4" x14ac:dyDescent="0.25">
      <c r="A1" t="s">
        <v>11</v>
      </c>
      <c r="B1" t="s">
        <v>25</v>
      </c>
      <c r="C1" t="s">
        <v>26</v>
      </c>
      <c r="D1" t="s">
        <v>27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AC8035-AADD-424B-BBBB-6C6BF2928A67}">
  <sheetPr codeName="Sheet24"/>
  <dimension ref="A1:C1"/>
  <sheetViews>
    <sheetView workbookViewId="0">
      <selection activeCell="H22" sqref="H22"/>
    </sheetView>
  </sheetViews>
  <sheetFormatPr defaultRowHeight="15.75" x14ac:dyDescent="0.25"/>
  <sheetData>
    <row r="1" spans="1:3" x14ac:dyDescent="0.25">
      <c r="A1" t="s">
        <v>11</v>
      </c>
      <c r="B1" t="s">
        <v>63</v>
      </c>
      <c r="C1" t="s">
        <v>27</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1EA0-13D1-407F-BDC4-B6CD6BB8C57F}">
  <sheetPr codeName="Sheet21"/>
  <dimension ref="A1:E1"/>
  <sheetViews>
    <sheetView workbookViewId="0">
      <selection activeCell="C9" sqref="C9"/>
    </sheetView>
  </sheetViews>
  <sheetFormatPr defaultColWidth="22.625" defaultRowHeight="15.75" x14ac:dyDescent="0.25"/>
  <sheetData>
    <row r="1" spans="1:5" x14ac:dyDescent="0.25">
      <c r="A1" s="2" t="s">
        <v>11</v>
      </c>
      <c r="B1" t="s">
        <v>12</v>
      </c>
      <c r="C1" t="s">
        <v>23</v>
      </c>
      <c r="D1" t="s">
        <v>24</v>
      </c>
      <c r="E1" t="s">
        <v>13</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C6132-329F-4CE9-9926-D197A5205AB2}">
  <sheetPr codeName="Sheet20"/>
  <dimension ref="A1:E1"/>
  <sheetViews>
    <sheetView workbookViewId="0">
      <selection activeCell="H22" sqref="H22"/>
    </sheetView>
  </sheetViews>
  <sheetFormatPr defaultColWidth="29" defaultRowHeight="15.75" x14ac:dyDescent="0.25"/>
  <sheetData>
    <row r="1" spans="1:5" x14ac:dyDescent="0.25">
      <c r="A1" t="s">
        <v>11</v>
      </c>
      <c r="B1" s="2" t="s">
        <v>14</v>
      </c>
      <c r="C1" t="s">
        <v>15</v>
      </c>
      <c r="D1" t="s">
        <v>16</v>
      </c>
      <c r="E1" t="s">
        <v>17</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26E14-C950-46C7-BE40-F1813A4E0D6F}">
  <sheetPr codeName="Sheet22"/>
  <dimension ref="A1:E1"/>
  <sheetViews>
    <sheetView workbookViewId="0">
      <selection activeCell="H22" sqref="H22"/>
    </sheetView>
  </sheetViews>
  <sheetFormatPr defaultColWidth="18.375" defaultRowHeight="15.75" x14ac:dyDescent="0.25"/>
  <sheetData>
    <row r="1" spans="1:5" x14ac:dyDescent="0.25">
      <c r="A1" t="s">
        <v>11</v>
      </c>
      <c r="B1" s="2" t="s">
        <v>14</v>
      </c>
      <c r="C1" t="s">
        <v>27</v>
      </c>
      <c r="D1" t="s">
        <v>28</v>
      </c>
      <c r="E1" t="s">
        <v>29</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E3672B-C4CA-454C-81A6-25E23570B244}">
  <sheetPr codeName="Sheet8"/>
  <dimension ref="A1:C1"/>
  <sheetViews>
    <sheetView workbookViewId="0">
      <selection activeCell="C9" sqref="C9"/>
    </sheetView>
  </sheetViews>
  <sheetFormatPr defaultRowHeight="15" x14ac:dyDescent="0.25"/>
  <cols>
    <col min="1" max="16384" width="9" style="5"/>
  </cols>
  <sheetData>
    <row r="1" spans="1:3" x14ac:dyDescent="0.25">
      <c r="A1" s="5" t="s">
        <v>11</v>
      </c>
      <c r="B1" s="5" t="s">
        <v>14</v>
      </c>
      <c r="C1" s="5" t="s">
        <v>15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vt:i4>
      </vt:variant>
    </vt:vector>
  </HeadingPairs>
  <TitlesOfParts>
    <vt:vector size="34" baseType="lpstr">
      <vt:lpstr>Instructions</vt:lpstr>
      <vt:lpstr>Settings</vt:lpstr>
      <vt:lpstr>Components</vt:lpstr>
      <vt:lpstr>Network</vt:lpstr>
      <vt:lpstr>Scenarios</vt:lpstr>
      <vt:lpstr>menus</vt:lpstr>
      <vt:lpstr>component-failure-mode</vt:lpstr>
      <vt:lpstr>component-fragility</vt:lpstr>
      <vt:lpstr>converter-component</vt:lpstr>
      <vt:lpstr>damage-intensity</vt:lpstr>
      <vt:lpstr>dual-outflow-converter-comp</vt:lpstr>
      <vt:lpstr>failure-mode</vt:lpstr>
      <vt:lpstr>dist-type</vt:lpstr>
      <vt:lpstr>fixed-dist</vt:lpstr>
      <vt:lpstr>uniform-dist</vt:lpstr>
      <vt:lpstr>normal-dist</vt:lpstr>
      <vt:lpstr>weibull-dist</vt:lpstr>
      <vt:lpstr>quantile-dist</vt:lpstr>
      <vt:lpstr>fragility-curve</vt:lpstr>
      <vt:lpstr>general</vt:lpstr>
      <vt:lpstr>load-component</vt:lpstr>
      <vt:lpstr>out</vt:lpstr>
      <vt:lpstr>stats</vt:lpstr>
      <vt:lpstr>load-profile</vt:lpstr>
      <vt:lpstr>mover-component</vt:lpstr>
      <vt:lpstr>muxer-component</vt:lpstr>
      <vt:lpstr>network-link</vt:lpstr>
      <vt:lpstr>pass-through-component</vt:lpstr>
      <vt:lpstr>scenario</vt:lpstr>
      <vt:lpstr>source-component</vt:lpstr>
      <vt:lpstr>storage-component</vt:lpstr>
      <vt:lpstr>uncontrolled-src</vt:lpstr>
      <vt:lpstr>exe_path</vt:lpstr>
      <vt:lpstr>flows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mokeefe</cp:lastModifiedBy>
  <dcterms:created xsi:type="dcterms:W3CDTF">2020-06-24T15:27:13Z</dcterms:created>
  <dcterms:modified xsi:type="dcterms:W3CDTF">2021-02-02T15:32:22Z</dcterms:modified>
</cp:coreProperties>
</file>